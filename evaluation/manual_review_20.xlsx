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3e1374c687420a" /></Relationships>
</file>

<file path=xl/workbook.xml><?xml version="1.0" encoding="utf-8"?>
<x:workbook xmlns:x="http://schemas.openxmlformats.org/spreadsheetml/2006/main">
  <x:sheets>
    <x:sheet xmlns:r="http://schemas.openxmlformats.org/officeDocument/2006/relationships" name="Manual Review" sheetId="1" r:id="R8a3635ce28c14305"/>
    <x:sheet xmlns:r="http://schemas.openxmlformats.org/officeDocument/2006/relationships" name="Review Notes" sheetId="2" r:id="R6b2d16431aae44a9"/>
  </x:sheets>
</x:workbook>
</file>

<file path=xl/sharedStrings.xml><?xml version="1.0" encoding="utf-8"?>
<x:sst xmlns:x="http://schemas.openxmlformats.org/spreadsheetml/2006/main">
  <x:si>
    <x:t xml:space="preserve">CLAIM031</x:t>
  </x:si>
  <x:si>
    <x:t xml:space="preserve">case_derived</x:t>
  </x:si>
  <x:si>
    <x:t xml:space="preserve">evidence_needed</x:t>
  </x:si>
  <x:si>
    <x:t xml:space="preserve">high_risk</x:t>
  </x:si>
  <x:si>
    <x:t xml:space="preserve">The claim about unlimited high-speed data for only 9 yuan per month is similar to a previous case where a company made a false price claim regarding a mobile data card. This indicates a risk of misleading advertising.</x:t>
  </x:si>
  <x:si>
    <x:t xml:space="preserve">https://www.samr.gov.cn/xw/zj/art/2025/art_1212b0d62d0844d58c635269e40efe35.html</x:t>
  </x:si>
  <x:si>
    <x:t xml:space="preserve">CLAIM032</x:t>
  </x:si>
  <x:si>
    <x:t xml:space="preserve">The claim suggests that the skincare product can completely eliminate symptoms such as redness, itching, and acne, which is a strong treatment promise. This is similar to a case where a cosmetic was advertised as treating skin conditions, leading to consumer confusion with pharmaceuticals.</x:t>
  </x:si>
  <x:si>
    <x:t xml:space="preserve">CLAIM034</x:t>
  </x:si>
  <x:si>
    <x:t xml:space="preserve">The claim suggests a strong cure promise for weight loss, which is a high-risk assertion without sufficient evidence to support it. Similar cases have involved unsupported health claims that were deemed illegal.</x:t>
  </x:si>
  <x:si>
    <x:t xml:space="preserve">https://www.shanwei.gov.cn/swscjdglj/zwgk/0800/dxal/content/post_1074414.html</x:t>
  </x:si>
  <x:si>
    <x:t xml:space="preserve">CLAIM035</x:t>
  </x:si>
  <x:si>
    <x:t xml:space="preserve">The claim suggests a significant improvement in skin firmness, which is a strong therapeutic promise that is likely to be considered a medical claim. This type of claim is often scrutinized and can be classified as a high risk due to potential consumer deception.</x:t>
  </x:si>
  <x:si>
    <x:t xml:space="preserve">https://www.samr.gov.cn/ggjgs/sjdt/gzdt/art/2024/art_93bcd60c81fb4145b6698014ba162cbb.html</x:t>
  </x:si>
  <x:si>
    <x:t xml:space="preserve">CLAIM036</x:t>
  </x:si>
  <x:si>
    <x:t xml:space="preserve">The claim suggests that the ordinary ointment can repair bodily injuries and alleviate disease symptoms, which is a medical claim for a non-medical product. This aligns with previous enforcement cases where similar claims were made for ordinary products, leading to legal action.</x:t>
  </x:si>
  <x:si>
    <x:t xml:space="preserve">https://www.samr.gov.cn/xw/zj/art/2025/art_aa3fc21f7586462593b51175ba385186.html</x:t>
  </x:si>
  <x:si>
    <x:t xml:space="preserve">CLAIM037</x:t>
  </x:si>
  <x:si>
    <x:t xml:space="preserve">The claim suggests comprehensive improvement of bodily functions, which is a strong health claim that is unsupported by evidence. Similar cases have been found where products made similar claims without scientific backing, leading to enforcement actions.</x:t>
  </x:si>
  <x:si>
    <x:t xml:space="preserve">CLAIM039</x:t>
  </x:si>
  <x:si>
    <x:t xml:space="preserve">The claim states that all pearls sold are natural and come with authentic certification. However, there is evidence of a case where fake pearls were sold as real, along with forged certification. This raises significant concerns about the authenticity of the pearls being sold.</x:t>
  </x:si>
  <x:si>
    <x:t xml:space="preserve">CLAIM040</x:t>
  </x:si>
  <x:si>
    <x:t xml:space="preserve">insufficient_evidence</x:t>
  </x:si>
  <x:si>
    <x:t xml:space="preserve">The retrieved evidence is below the provisional similarity threshold.</x:t>
  </x:si>
  <x:si>
    <x:t xml:space="preserve">CLAIM042</x:t>
  </x:si>
  <x:si>
    <x:t xml:space="preserve">The claim suggests that royal jelly has anti-tumor properties, which is a medical claim that is prohibited for ordinary products. Similar cases have shown that such claims can lead to enforcement actions due to their misleading nature.</x:t>
  </x:si>
  <x:si>
    <x:t xml:space="preserve">https://www.samr.gov.cn/xw/zj/art/2024/art_a68c3d6b97c24ec89fbb52182b9a24b8.html</x:t>
  </x:si>
  <x:si>
    <x:t xml:space="preserve">CLAIM044</x:t>
  </x:si>
  <x:si>
    <x:t xml:space="preserve">The claim suggests that the product can control blood sugar and manage health issues related to 'three highs', which is a disease prevention or treatment claim. This is similar to a previous enforcement case where camel milk was advertised with similar health benefits, leading to legal action for making unapproved health claims.</x:t>
  </x:si>
  <x:si>
    <x:t xml:space="preserve">CLAIM076</x:t>
  </x:si>
  <x:si>
    <x:t xml:space="preserve">synthetic</x:t>
  </x:si>
  <x:si>
    <x:t xml:space="preserve">low_risk</x:t>
  </x:si>
  <x:si>
    <x:t xml:space="preserve">CLAIM077</x:t>
  </x:si>
  <x:si>
    <x:t xml:space="preserve">CLAIM078</x:t>
  </x:si>
  <x:si>
    <x:t xml:space="preserve">The claim suggests that a regular dairy drink can treat a medical condition (anemia), which is a strong cure promise and is prohibited. Similar cases have established that such claims are illegal.</x:t>
  </x:si>
  <x:si>
    <x:t xml:space="preserve">https://www.samr.gov.cn/xw/zj/art/2024/art_040ee3ac2e924c1e9735c6f47fb734d9.html</x:t>
  </x:si>
  <x:si>
    <x:t xml:space="preserve">CLAIM079</x:t>
  </x:si>
  <x:si>
    <x:t xml:space="preserve">The claim simply states the available colors of the umbrella, which does not raise any configured concerns or legal issues. This is not legal approval, but the claim appears to be straightforward and factual.</x:t>
  </x:si>
  <x:si>
    <x:t xml:space="preserve">CLAIM080</x:t>
  </x:si>
  <x:si>
    <x:t xml:space="preserve">CLAIM081</x:t>
  </x:si>
  <x:si>
    <x:t xml:space="preserve">The claim suggests that a common chewing gum can cure periodontal disease, which is a strong health claim that is unsupported by evidence. Similar cases have shown that such health-related claims are considered illegal and misleading.</x:t>
  </x:si>
  <x:si>
    <x:t xml:space="preserve">CLAIM084</x:t>
  </x:si>
  <x:si>
    <x:t xml:space="preserve">CLAIM086</x:t>
  </x:si>
  <x:si>
    <x:t xml:space="preserve">CLAIM089</x:t>
  </x:si>
  <x:si>
    <x:t xml:space="preserve">CLAIM090</x:t>
  </x:si>
</x:sst>
</file>

<file path=xl/styles.xml><?xml version="1.0" encoding="utf-8"?>
<x:styleSheet xmlns:x="http://schemas.openxmlformats.org/spreadsheetml/2006/main">
  <x:numFmts count="1">
    <x:numFmt numFmtId="176" formatCode="0.0000"/>
  </x:numFmts>
  <x:fonts count="9">
    <x:font>
      <x:sz val="11"/>
      <x:name val="Carlito"/>
    </x:font>
    <x:font>
      <x:b/>
      <x:sz val="15"/>
      <x:color rgb="FF1F1F1F"/>
      <x:name val="Arial"/>
    </x:font>
    <x:font>
      <x:b/>
      <x:sz val="10"/>
      <x:color rgb="FF222222"/>
      <x:name val="Arial"/>
    </x:font>
    <x:font>
      <x:sz val="10"/>
      <x:color rgb="FF222222"/>
      <x:name val="Arial"/>
    </x:font>
    <x:font>
      <x:i/>
      <x:sz val="10"/>
      <x:color rgb="FF222222"/>
      <x:name val="Arial"/>
    </x:font>
    <x:font>
      <x:b/>
      <x:sz val="10"/>
      <x:color rgb="FFFFFFFF"/>
      <x:name val="Arial"/>
    </x:font>
    <x:font>
      <x:sz val="11"/>
      <x:name val="Carlito"/>
    </x:font>
    <x:font>
      <x:sz val="9"/>
      <x:name val="Arial"/>
    </x:font>
    <x:font>
      <x:sz val="10"/>
      <x:color rgb="FF222222"/>
      <x:name val="Arial"/>
    </x:font>
  </x:fonts>
  <x:fills count="5">
    <x:fill>
      <x:patternFill patternType="none"/>
    </x:fill>
    <x:fill>
      <x:patternFill patternType="gray125"/>
    </x:fill>
    <x:fill>
      <x:patternFill patternType="solid">
        <x:fgColor rgb="FFEAF2F8"/>
      </x:patternFill>
    </x:fill>
    <x:fill>
      <x:patternFill patternType="solid">
        <x:fgColor rgb="FF1F4E78"/>
      </x:patternFill>
    </x:fill>
    <x:fill>
      <x:patternFill patternType="solid">
        <x:fgColor rgb="FFD9EAF7"/>
      </x:patternFill>
    </x:fill>
  </x:fills>
  <x:borders count="10">
    <x:border/>
    <x:border>
      <x:left style="thin">
        <x:color rgb="FFAAB7B8"/>
      </x:left>
      <x:top style="thin">
        <x:color rgb="FFAAB7B8"/>
      </x:top>
      <x:bottom style="thin">
        <x:color rgb="FFAAB7B8"/>
      </x:bottom>
    </x:border>
    <x:border>
      <x:top style="thin">
        <x:color rgb="FFAAB7B8"/>
      </x:top>
      <x:bottom style="thin">
        <x:color rgb="FFAAB7B8"/>
      </x:bottom>
    </x:border>
    <x:border>
      <x:right style="thin">
        <x:color rgb="FFAAB7B8"/>
      </x:right>
      <x:top style="thin">
        <x:color rgb="FFAAB7B8"/>
      </x:top>
      <x:bottom style="thin">
        <x:color rgb="FFAAB7B8"/>
      </x:bottom>
    </x:border>
    <x:border>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top style="thin">
        <x:color rgb="FFD9D9D9"/>
      </x:top>
    </x:border>
  </x:borders>
  <x:cellStyleXfs count="2">
    <x:xf numFmtId="0" fontId="0" fillId="0" borderId="0"/>
    <x:xf numFmtId="0" fontId="6" fillId="0" borderId="0"/>
  </x:cellStyleXfs>
  <x:cellXfs count="22">
    <x:xf numFmtId="0" fontId="0" fillId="0" borderId="0" xfId="0"/>
    <x:xf numFmtId="0" fontId="1" fillId="0" borderId="0" xfId="1" applyFont="1"/>
    <x:xf numFmtId="0" fontId="3" fillId="0" borderId="0" xfId="1" applyFont="1"/>
    <x:xf numFmtId="0" fontId="4" fillId="0" borderId="0" xfId="1" applyFont="1"/>
    <x:xf numFmtId="0" fontId="2" fillId="2" borderId="1" xfId="1" applyFont="1" applyFill="1" applyBorder="1"/>
    <x:xf numFmtId="0" fontId="2" fillId="2" borderId="2" xfId="1" applyFont="1" applyFill="1" applyBorder="1"/>
    <x:xf numFmtId="0" fontId="2" fillId="2" borderId="3" xfId="1" applyFont="1" applyFill="1" applyBorder="1"/>
    <x:xf numFmtId="0" fontId="5" fillId="3" borderId="0" xfId="1" applyFont="1" applyFill="1" applyAlignment="1">
      <x:alignment horizontal="center" vertical="center" wrapText="1"/>
    </x:xf>
    <x:xf numFmtId="0" fontId="3" fillId="0" borderId="0" xfId="1" applyFont="1" applyAlignment="1">
      <x:alignment vertical="top" wrapText="1"/>
    </x:xf>
    <x:xf numFmtId="0" fontId="3" fillId="0" borderId="0" xfId="1" applyFont="1" applyAlignment="1">
      <x:alignment horizontal="center" vertical="top"/>
    </x:xf>
    <x:xf numFmtId="0" fontId="3" fillId="0" borderId="0" xfId="1" applyFont="1" applyAlignment="1">
      <x:alignment horizontal="center" vertical="top" wrapText="1"/>
    </x:xf>
    <x:xf numFmtId="176" fontId="3" fillId="0" borderId="0" xfId="1" applyNumberFormat="1" applyFont="1" applyAlignment="1">
      <x:alignment horizontal="center" vertical="top"/>
    </x:xf>
    <x:xf numFmtId="0" fontId="3" fillId="0" borderId="5" xfId="1" applyFont="1" applyBorder="1" applyAlignment="1">
      <x:alignment vertical="top" wrapText="1"/>
    </x:xf>
    <x:xf numFmtId="0" fontId="3" fillId="0" borderId="7" xfId="1" applyFont="1" applyBorder="1" applyAlignment="1">
      <x:alignment vertical="top" wrapText="1"/>
    </x:xf>
    <x:xf numFmtId="0" fontId="3" fillId="0" borderId="9" xfId="1" applyFont="1" applyBorder="1" applyAlignment="1">
      <x:alignment vertical="top" wrapText="1"/>
    </x:xf>
    <x:xf numFmtId="0" fontId="2" fillId="4" borderId="4" xfId="1" applyFont="1" applyFill="1" applyBorder="1" applyAlignment="1">
      <x:alignment vertical="top"/>
    </x:xf>
    <x:xf numFmtId="0" fontId="2" fillId="4" borderId="6" xfId="1" applyFont="1" applyFill="1" applyBorder="1" applyAlignment="1">
      <x:alignment vertical="top"/>
    </x:xf>
    <x:xf numFmtId="0" fontId="2" fillId="4" borderId="8" xfId="1" applyFont="1" applyFill="1" applyBorder="1" applyAlignment="1">
      <x:alignment vertical="top"/>
    </x:xf>
    <x:xf numFmtId="0" fontId="8" fillId="0" borderId="0" xfId="1" applyFont="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cellXfs>
  <x:cellStyles count="2">
    <x:cellStyle name="Normal" xfId="1"/>
    <x:cellStyle name="Review body" xfId="0"/>
  </x:cellStyles>
  <x:dxfs count="3">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cd8b831cb6b4e19" /><Relationship Type="http://schemas.openxmlformats.org/officeDocument/2006/relationships/theme" Target="/xl/theme/theme1.xml" Id="R6ba26ca2904345e1" /><Relationship Type="http://schemas.openxmlformats.org/officeDocument/2006/relationships/sharedStrings" Target="/xl/sharedStrings.xml" Id="R67603304d1aa410a" /><Relationship Type="http://schemas.openxmlformats.org/officeDocument/2006/relationships/worksheet" Target="/xl/worksheets/sheet1.xml" Id="R8a3635ce28c14305" /><Relationship Type="http://schemas.openxmlformats.org/officeDocument/2006/relationships/worksheet" Target="/xl/worksheets/sheet2.xml" Id="R6b2d16431aae44a9" /></Relationships>
</file>

<file path=xl/tables/table1.xml><?xml version="1.0" encoding="utf-8"?>
<x:table xmlns:x="http://schemas.openxmlformats.org/spreadsheetml/2006/main" id="1" name="ManualReview20" displayName="ManualReview20" ref="A6:S26" totalsRowShown="0">
  <x:autoFilter ref="A6:S26"/>
  <x:tableColumns count="19">
    <x:tableColumn id="1" name="No."/>
    <x:tableColumn id="2" name="claim_id"/>
    <x:tableColumn id="3" name="Claim (English translation)"/>
    <x:tableColumn id="4" name="Sample type"/>
    <x:tableColumn id="5" name="Reference label"/>
    <x:tableColumn id="6" name="System output"/>
    <x:tableColumn id="7" name="Abstained"/>
    <x:tableColumn id="8" name="Top similarity"/>
    <x:tableColumn id="9" name="Model reason"/>
    <x:tableColumn id="10" name="Input and rating support"/>
    <x:tableColumn id="11" name="Citation support"/>
    <x:tableColumn id="12" name="Recommendation actionability"/>
    <x:tableColumn id="13" name="Uncertainty wording"/>
    <x:tableColumn id="14" name="Human label"/>
    <x:tableColumn id="15" name="System assessment"/>
    <x:tableColumn id="16" name="Review status"/>
    <x:tableColumn id="17" name="Review conclusion"/>
    <x:tableColumn id="18" name="Cited case (English summary title)"/>
    <x:tableColumn id="19" name="Source URL"/>
  </x:tableColumns>
  <x:tableStyleInfo name="TableStyleMedium2" showFirstColumn="0" showLastColumn="0" showRowStripes="1" showColumnStripes="0"/>
</x:table>
</file>

<file path=xl/theme/theme1.xml><?xml version="1.0" encoding="utf-8"?>
<a:theme xmlns:a="http://schemas.openxmlformats.org/drawingml/2006/main" name="ClaimTrace">
  <a:themeElements>
    <a:clrScheme name="ClaimTra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laimTra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8fa3220e44f4c5d" /></Relationships>
</file>

<file path=xl/worksheets/sheet1.xml><?xml version="1.0" encoding="utf-8"?>
<x:worksheet xmlns:x="http://schemas.openxmlformats.org/spreadsheetml/2006/main">
  <x:sheetPr>
    <x:tabColor rgb="FF1F4E78"/>
  </x:sheetPr>
  <x:sheetViews>
    <x:sheetView showGridLines="0" workbookViewId="0">
      <x:pane xSplit="2" ySplit="6" topLeftCell="C7" activePane="bottomRight" state="frozen"/>
    </x:sheetView>
  </x:sheetViews>
  <x:sheetFormatPr defaultRowHeight="13.5"/>
  <x:cols>
    <x:col min="1" max="1" width="6" customWidth="1"/>
    <x:col min="2" max="2" width="12" customWidth="1"/>
    <x:col min="3" max="3" width="34" customWidth="1"/>
    <x:col min="4" max="4" width="14" customWidth="1"/>
    <x:col min="5" max="5" width="18" customWidth="1"/>
    <x:col min="6" max="6" width="20" customWidth="1"/>
    <x:col min="7" max="8" width="10" customWidth="1"/>
    <x:col min="9" max="9" width="44" customWidth="1"/>
    <x:col min="10" max="10" width="42" customWidth="1"/>
    <x:col min="11" max="11" width="48" customWidth="1"/>
    <x:col min="12" max="12" width="38" customWidth="1"/>
    <x:col min="13" max="13" width="42" customWidth="1"/>
    <x:col min="14" max="14" width="18" customWidth="1"/>
    <x:col min="15" max="15" width="30" customWidth="1"/>
    <x:col min="16" max="16" width="12" customWidth="1"/>
    <x:col min="17" max="17" width="72" customWidth="1"/>
    <x:col min="18" max="18" width="42" customWidth="1"/>
    <x:col min="19" max="19" width="48" customWidth="1"/>
    <x:col min="20" max="20" width="18" hidden="0" customWidth="1"/>
    <x:col min="21" max="21" width="20" hidden="0" customWidth="1"/>
    <x:col min="22" max="22" width="18" hidden="0" customWidth="1"/>
    <x:col min="23" max="23" width="26" hidden="0" customWidth="1"/>
    <x:col min="24" max="24" width="18" hidden="0" customWidth="1"/>
    <x:col min="25" max="25" width="20" hidden="0" customWidth="1"/>
    <x:col min="26" max="26" width="16" hidden="0" customWidth="1"/>
  </x:cols>
  <x:sheetData>
    <x:row r="1" ht="18.75">
      <x:c r="A1" s="1" t="str">
        <x:v>ClaimTrace: Manual review of 20 locked-test claims</x:v>
      </x:c>
      <x:c r="B1" s="2"/>
      <x:c r="C1" s="2"/>
      <x:c r="D1" s="2"/>
      <x:c r="E1" s="2"/>
      <x:c r="F1" s="2"/>
      <x:c r="G1" s="2"/>
      <x:c r="H1" s="2"/>
      <x:c r="I1" s="2"/>
      <x:c r="J1" s="2"/>
      <x:c r="K1" s="2"/>
      <x:c r="L1" s="2"/>
      <x:c r="M1" s="2"/>
      <x:c r="N1" s="2"/>
      <x:c r="O1" s="2"/>
      <x:c r="P1" s="2"/>
      <x:c r="Q1" s="2"/>
      <x:c r="R1" s="2"/>
      <x:c r="S1" s="2"/>
    </x:row>
    <x:row r="2">
      <x:c r="A2" s="3" t="str">
        <x:v>Ten case-derived and ten synthetic claims were reviewed. Coded results and source links appear below.</x:v>
      </x:c>
      <x:c r="B2" s="2"/>
      <x:c r="C2" s="2"/>
      <x:c r="D2" s="2"/>
      <x:c r="E2" s="2"/>
      <x:c r="F2" s="2"/>
      <x:c r="G2" s="2"/>
      <x:c r="H2" s="2"/>
      <x:c r="I2" s="2"/>
      <x:c r="J2" s="2"/>
      <x:c r="K2" s="2"/>
      <x:c r="L2" s="2"/>
      <x:c r="M2" s="2"/>
      <x:c r="N2" s="2"/>
      <x:c r="O2" s="2"/>
      <x:c r="P2" s="2"/>
      <x:c r="Q2" s="2"/>
      <x:c r="R2" s="2"/>
      <x:c r="S2" s="2"/>
    </x:row>
    <x:row r="3">
      <x:c r="A3" s="2"/>
      <x:c r="B3" s="2"/>
      <x:c r="C3" s="2"/>
      <x:c r="D3" s="2"/>
      <x:c r="E3" s="2"/>
      <x:c r="F3" s="2"/>
      <x:c r="G3" s="2"/>
      <x:c r="H3" s="2"/>
      <x:c r="I3" s="2"/>
      <x:c r="J3" s="2"/>
      <x:c r="K3" s="2"/>
      <x:c r="L3" s="2"/>
      <x:c r="M3" s="2"/>
      <x:c r="N3" s="2"/>
      <x:c r="O3" s="2"/>
      <x:c r="P3" s="2"/>
      <x:c r="Q3" s="2"/>
      <x:c r="R3" s="2"/>
      <x:c r="S3" s="2"/>
    </x:row>
    <x:row r="4" ht="13.899999618530273">
      <x:c r="A4" s="4" t="str">
        <x:v>Reviewed</x:v>
      </x:c>
      <x:c r="B4" s="5">
        <x:v>20</x:v>
      </x:c>
      <x:c r="C4" s="5" t="str">
        <x:v>Case-derived</x:v>
      </x:c>
      <x:c r="D4" s="5">
        <x:v>10</x:v>
      </x:c>
      <x:c r="E4" s="5" t="str">
        <x:v>Synthetic</x:v>
      </x:c>
      <x:c r="F4" s="5">
        <x:v>10</x:v>
      </x:c>
      <x:c r="G4" s="5" t="str">
        <x:v>Abstentions</x:v>
      </x:c>
      <x:c r="H4" s="5" t="n">
        <x:f>COUNTIF(F7:F26,"insufficient_evidence")</x:f>
        <x:v>8</x:v>
      </x:c>
      <x:c r="I4" s="5" t="str">
        <x:v>Completed</x:v>
      </x:c>
      <x:c r="J4" s="5" t="n">
        <x:f>COUNTIF(Z7:Z26,"completed")</x:f>
        <x:v>20</x:v>
      </x:c>
      <x:c r="K4" s="5" t="str">
        <x:v>Pending</x:v>
      </x:c>
      <x:c r="L4" s="6" t="n">
        <x:f>COUNTIF(Z7:Z26,"pending")</x:f>
        <x:v>0</x:v>
      </x:c>
      <x:c r="M4" s="2"/>
      <x:c r="N4" s="2"/>
      <x:c r="O4" s="2"/>
      <x:c r="P4" s="2"/>
      <x:c r="Q4" s="2"/>
      <x:c r="R4" s="2"/>
      <x:c r="S4" s="2"/>
    </x:row>
    <x:row r="5">
      <x:c r="A5" s="2"/>
      <x:c r="B5" s="2"/>
      <x:c r="C5" s="2"/>
      <x:c r="D5" s="2"/>
      <x:c r="E5" s="2"/>
      <x:c r="F5" s="2"/>
      <x:c r="G5" s="2"/>
      <x:c r="H5" s="2"/>
      <x:c r="I5" s="2"/>
      <x:c r="J5" s="2"/>
      <x:c r="K5" s="2"/>
      <x:c r="L5" s="2"/>
      <x:c r="M5" s="2"/>
      <x:c r="N5" s="2"/>
      <x:c r="O5" s="2"/>
      <x:c r="P5" s="2"/>
      <x:c r="Q5" s="2"/>
      <x:c r="R5" s="2"/>
      <x:c r="S5" s="2"/>
    </x:row>
    <x:row r="6" ht="36" customHeight="1">
      <x:c r="A6" s="7" t="str">
        <x:v>No.</x:v>
      </x:c>
      <x:c r="B6" s="7" t="str">
        <x:v>claim_id</x:v>
      </x:c>
      <x:c r="C6" s="7" t="str">
        <x:v>Claim (English translation)</x:v>
      </x:c>
      <x:c r="D6" s="7" t="str">
        <x:v>Sample type</x:v>
      </x:c>
      <x:c r="E6" s="7" t="str">
        <x:v>Reference label</x:v>
      </x:c>
      <x:c r="F6" s="7" t="str">
        <x:v>System output</x:v>
      </x:c>
      <x:c r="G6" s="7" t="str">
        <x:v>Abstained</x:v>
      </x:c>
      <x:c r="H6" s="7" t="str">
        <x:v>Top similarity</x:v>
      </x:c>
      <x:c r="I6" s="7" t="str">
        <x:v>Model reason</x:v>
      </x:c>
      <x:c r="J6" s="7" t="str">
        <x:v>Input and rating support</x:v>
      </x:c>
      <x:c r="K6" s="7" t="str">
        <x:v>Citation support</x:v>
      </x:c>
      <x:c r="L6" s="7" t="str">
        <x:v>Recommendation actionability</x:v>
      </x:c>
      <x:c r="M6" s="7" t="str">
        <x:v>Uncertainty wording</x:v>
      </x:c>
      <x:c r="N6" s="7" t="str">
        <x:v>Human label</x:v>
      </x:c>
      <x:c r="O6" s="7" t="str">
        <x:v>System assessment</x:v>
      </x:c>
      <x:c r="P6" s="7" t="str">
        <x:v>Review status</x:v>
      </x:c>
      <x:c r="Q6" s="7" t="str">
        <x:v>Review conclusion</x:v>
      </x:c>
      <x:c r="R6" s="7" t="str">
        <x:v>Cited case (English summary title)</x:v>
      </x:c>
      <x:c r="S6" s="7" t="str">
        <x:v>Source URL</x:v>
      </x:c>
      <x:c r="T6" s="19" t="str">
        <x:v>citation_present</x:v>
      </x:c>
      <x:c r="U6" s="19" t="str">
        <x:v>citation_supported</x:v>
      </x:c>
      <x:c r="V6" s="19" t="str">
        <x:v>reason_supported</x:v>
      </x:c>
      <x:c r="W6" s="19" t="str">
        <x:v>recommendation_actionable</x:v>
      </x:c>
      <x:c r="X6" s="19" t="str">
        <x:v>uncertainty_clear</x:v>
      </x:c>
      <x:c r="Y6" s="19" t="str">
        <x:v>human_final_label</x:v>
      </x:c>
      <x:c r="Z6" s="19" t="str">
        <x:v>review_status</x:v>
      </x:c>
    </x:row>
    <x:row r="7" ht="78" customHeight="1">
      <x:c r="A7" s="9">
        <x:v>1</x:v>
      </x:c>
      <x:c r="B7" s="9" t="s">
        <x:v>0</x:v>
      </x:c>
      <x:c r="C7" s="8" t="str">
        <x:v>For only RMB 9 per month, this mobile data card provides unlimited high-speed data.</x:v>
      </x:c>
      <x:c r="D7" s="9" t="s">
        <x:v>1</x:v>
      </x:c>
      <x:c r="E7" s="9" t="s">
        <x:v>2</x:v>
      </x:c>
      <x:c r="F7" s="9" t="s">
        <x:v>3</x:v>
      </x:c>
      <x:c r="G7" s="9" t="str">
        <x:v>No</x:v>
      </x:c>
      <x:c r="H7" s="11">
        <x:v>0.46310000000000001</x:v>
      </x:c>
      <x:c r="I7" s="8" t="s">
        <x:v>4</x:v>
      </x:c>
      <x:c r="J7" s="8" t="str">
        <x:v>Partial support: a low-priced unlimited data offer needs evidence of the tariff and allowance. A similar case alone does not establish that this offer is false.</x:v>
      </x:c>
      <x:c r="K7" s="8" t="str">
        <x:v>Partial support: the official case found another company's CNY 9 per month data advertisement inconsistent with its actual offer. It supports a comparable risk, not a finding about this card.</x:v>
      </x:c>
      <x:c r="L7" s="8" t="str">
        <x:v>Not assessable: historical test_full.csv did not record next_action.</x:v>
      </x:c>
      <x:c r="M7" s="8" t="str">
        <x:v>Partly clear: the reason uses risk language, but the high_risk label blurs analogy with facts about this seller.</x:v>
      </x:c>
      <x:c r="N7" s="10" t="s">
        <x:v>2</x:v>
      </x:c>
      <x:c r="O7" s="10" t="str">
        <x:v>Overclassified: the reference label calls for evidence, while the system assigns high risk.</x:v>
      </x:c>
      <x:c r="P7" s="10" t="str">
        <x:v>Completed</x:v>
      </x:c>
      <x:c r="Q7" s="8" t="str">
        <x:v>Human review favors evidence_needed until the current price and data terms are verified.</x:v>
      </x:c>
      <x:c r="R7" s="8" t="str">
        <x:v>Beijing: misleading mobile-data plan pricing</x:v>
      </x:c>
      <x:c r="S7" s="8" t="s">
        <x:v>5</x:v>
      </x:c>
      <x:c r="T7" s="21" t="str">
        <x:v>yes</x:v>
      </x:c>
      <x:c r="U7" s="21" t="str">
        <x:v>yes</x:v>
      </x:c>
      <x:c r="V7" s="21" t="str">
        <x:v>uncertain</x:v>
      </x:c>
      <x:c r="W7" s="21" t="str">
        <x:v>not_applicable</x:v>
      </x:c>
      <x:c r="X7" s="21" t="str">
        <x:v>uncertain</x:v>
      </x:c>
      <x:c r="Y7" s="21" t="str">
        <x:v>evidence_needed</x:v>
      </x:c>
      <x:c r="Z7" s="21" t="str">
        <x:v>completed</x:v>
      </x:c>
    </x:row>
    <x:row r="8" ht="78" customHeight="1">
      <x:c r="A8" s="9">
        <x:v>2</x:v>
      </x:c>
      <x:c r="B8" s="9" t="s">
        <x:v>6</x:v>
      </x:c>
      <x:c r="C8" s="8" t="str">
        <x:v>Using this skincare set for seven days will completely eliminate redness, itching and acne.</x:v>
      </x:c>
      <x:c r="D8" s="9" t="s">
        <x:v>1</x:v>
      </x:c>
      <x:c r="E8" s="9" t="s">
        <x:v>3</x:v>
      </x:c>
      <x:c r="F8" s="9" t="s">
        <x:v>3</x:v>
      </x:c>
      <x:c r="G8" s="9" t="str">
        <x:v>No</x:v>
      </x:c>
      <x:c r="H8" s="11">
        <x:v>0.41060000000000002</x:v>
      </x:c>
      <x:c r="I8" s="8" t="s">
        <x:v>7</x:v>
      </x:c>
      <x:c r="J8" s="8" t="str">
        <x:v>Supported: a promise to completely eliminate several skin symptoms within seven days is an explicit, absolute treatment-effect claim.</x:v>
      </x:c>
      <x:c r="K8" s="8" t="str">
        <x:v>Directly relevant: the official case concerns a cosmetic advertised as treating redness, itching, stinging and acne. The product type and symptoms closely match.</x:v>
      </x:c>
      <x:c r="L8" s="8" t="str">
        <x:v>Not assessable: historical test_full.csv did not record next_action.</x:v>
      </x:c>
      <x:c r="M8" s="8" t="str">
        <x:v>Partly clear: the reason explains the similar case and medicine-confusion risk, but does not explicitly call for checking this product's facts before publication.</x:v>
      </x:c>
      <x:c r="N8" s="10" t="s">
        <x:v>3</x:v>
      </x:c>
      <x:c r="O8" s="10" t="str">
        <x:v>The system label matches the human label, and the citation is directly relevant.</x:v>
      </x:c>
      <x:c r="P8" s="18" t="str">
        <x:v>Completed</x:v>
      </x:c>
      <x:c r="Q8" s="8" t="str">
        <x:v>Human review agrees with high_risk because the claim guarantees treatment of skin symptoms.</x:v>
      </x:c>
      <x:c r="R8" s="8" t="str">
        <x:v>Hangzhou: cosmetic advertised as treating skin conditions</x:v>
      </x:c>
      <x:c r="S8" s="8" t="s">
        <x:v>5</x:v>
      </x:c>
      <x:c r="T8" s="21" t="str">
        <x:v>yes</x:v>
      </x:c>
      <x:c r="U8" s="21" t="str">
        <x:v>yes</x:v>
      </x:c>
      <x:c r="V8" s="21" t="str">
        <x:v>yes</x:v>
      </x:c>
      <x:c r="W8" s="21" t="str">
        <x:v>not_applicable</x:v>
      </x:c>
      <x:c r="X8" s="21" t="str">
        <x:v>uncertain</x:v>
      </x:c>
      <x:c r="Y8" s="21" t="str">
        <x:v>high_risk</x:v>
      </x:c>
      <x:c r="Z8" s="21" t="str">
        <x:v>completed</x:v>
      </x:c>
    </x:row>
    <x:row r="9" ht="78" customHeight="1">
      <x:c r="A9" s="9">
        <x:v>3</x:v>
      </x:c>
      <x:c r="B9" s="9" t="s">
        <x:v>8</x:v>
      </x:c>
      <x:c r="C9" s="8" t="str">
        <x:v>A large number of consumers have personally confirmed that this jelly produces rapid weight loss.</x:v>
      </x:c>
      <x:c r="D9" s="9" t="s">
        <x:v>1</x:v>
      </x:c>
      <x:c r="E9" s="9" t="s">
        <x:v>2</x:v>
      </x:c>
      <x:c r="F9" s="9" t="s">
        <x:v>3</x:v>
      </x:c>
      <x:c r="G9" s="9" t="str">
        <x:v>No</x:v>
      </x:c>
      <x:c r="H9" s="11">
        <x:v>0.48559999999999998</x:v>
      </x:c>
      <x:c r="I9" s="8" t="s">
        <x:v>9</x:v>
      </x:c>
      <x:c r="J9" s="8" t="str">
        <x:v>Partial support: rapid weight loss and claimed consumer confirmation need efficacy evidence and authentic reviews. The wording alone does not establish falsity.</x:v>
      </x:c>
      <x:c r="K9" s="8" t="str">
        <x:v>Weak match: the linked Shanwei case concerns efficacy claims for ordinary food, not jelly weight loss or fabricated user comments. It offers category-level context only.</x:v>
      </x:c>
      <x:c r="L9" s="8" t="str">
        <x:v>Not assessable: historical test_full.csv did not record next_action.</x:v>
      </x:c>
      <x:c r="M9" s="8" t="str">
        <x:v>Insufficient: the reason treats missing evidence as high risk without explaining that the current reviews and product effects still need verification.</x:v>
      </x:c>
      <x:c r="N9" s="10" t="s">
        <x:v>2</x:v>
      </x:c>
      <x:c r="O9" s="10" t="str">
        <x:v>Overclassified: the citation does not fully support the model's stated reason.</x:v>
      </x:c>
      <x:c r="P9" s="10" t="str">
        <x:v>Completed</x:v>
      </x:c>
      <x:c r="Q9" s="8" t="str">
        <x:v>Human review favors evidence_needed; the cited case does not establish this product's results or review authenticity.</x:v>
      </x:c>
      <x:c r="R9" s="8" t="str">
        <x:v>Shanwei: cognitive and sleep claims for candy</x:v>
      </x:c>
      <x:c r="S9" s="8" t="s">
        <x:v>10</x:v>
      </x:c>
      <x:c r="T9" s="21" t="str">
        <x:v>yes</x:v>
      </x:c>
      <x:c r="U9" s="21" t="str">
        <x:v>no</x:v>
      </x:c>
      <x:c r="V9" s="21" t="str">
        <x:v>uncertain</x:v>
      </x:c>
      <x:c r="W9" s="21" t="str">
        <x:v>not_applicable</x:v>
      </x:c>
      <x:c r="X9" s="21" t="str">
        <x:v>no</x:v>
      </x:c>
      <x:c r="Y9" s="21" t="str">
        <x:v>evidence_needed</x:v>
      </x:c>
      <x:c r="Z9" s="21" t="str">
        <x:v>completed</x:v>
      </x:c>
    </x:row>
    <x:row r="10" ht="78" customHeight="1">
      <x:c r="A10" s="9">
        <x:v>4</x:v>
      </x:c>
      <x:c r="B10" s="9" t="s">
        <x:v>11</x:v>
      </x:c>
      <x:c r="C10" s="8" t="str">
        <x:v>Testing proves that this home beauty device can significantly improve skin firmness.</x:v>
      </x:c>
      <x:c r="D10" s="9" t="s">
        <x:v>1</x:v>
      </x:c>
      <x:c r="E10" s="9" t="s">
        <x:v>2</x:v>
      </x:c>
      <x:c r="F10" s="9" t="s">
        <x:v>3</x:v>
      </x:c>
      <x:c r="G10" s="9" t="str">
        <x:v>No</x:v>
      </x:c>
      <x:c r="H10" s="11">
        <x:v>0.45450000000000002</x:v>
      </x:c>
      <x:c r="I10" s="8" t="s">
        <x:v>12</x:v>
      </x:c>
      <x:c r="J10" s="8" t="str">
        <x:v>Partial support: improved skin firmness is a testable efficacy claim needing test evidence. The submitted wording alone does not establish high risk.</x:v>
      </x:c>
      <x:c r="K10" s="8" t="str">
        <x:v>Weak match: the source concerns false whitening claims for ordinary hand soap, not a beauty device or skin-firmness performance.</x:v>
      </x:c>
      <x:c r="L10" s="8" t="str">
        <x:v>Not assessable: historical test_full.csv did not record next_action.</x:v>
      </x:c>
      <x:c r="M10" s="8" t="str">
        <x:v>Insufficient: the reason frames firmness as a treatment promise without addressing product type or the missing performance evidence.</x:v>
      </x:c>
      <x:c r="N10" s="10" t="s">
        <x:v>2</x:v>
      </x:c>
      <x:c r="O10" s="10" t="str">
        <x:v>Overclassified, with a weak citation.</x:v>
      </x:c>
      <x:c r="P10" s="18" t="str">
        <x:v>Completed</x:v>
      </x:c>
      <x:c r="Q10" s="8" t="str">
        <x:v>Human review favors evidence_needed until the claimed test and performance evidence are checked.</x:v>
      </x:c>
      <x:c r="R10" s="8" t="str">
        <x:v>Fangxian: unsupported whitening claim for hand wash</x:v>
      </x:c>
      <x:c r="S10" s="8" t="s">
        <x:v>13</x:v>
      </x:c>
      <x:c r="T10" s="21" t="str">
        <x:v>yes</x:v>
      </x:c>
      <x:c r="U10" s="21" t="str">
        <x:v>yes</x:v>
      </x:c>
      <x:c r="V10" s="21" t="str">
        <x:v>uncertain</x:v>
      </x:c>
      <x:c r="W10" s="21" t="str">
        <x:v>not_applicable</x:v>
      </x:c>
      <x:c r="X10" s="21" t="str">
        <x:v>no</x:v>
      </x:c>
      <x:c r="Y10" s="21" t="str">
        <x:v>evidence_needed</x:v>
      </x:c>
      <x:c r="Z10" s="21" t="str">
        <x:v>completed</x:v>
      </x:c>
    </x:row>
    <x:row r="11" ht="78" customHeight="1">
      <x:c r="A11" s="9">
        <x:v>5</x:v>
      </x:c>
      <x:c r="B11" s="9" t="s">
        <x:v>14</x:v>
      </x:c>
      <x:c r="C11" s="8" t="str">
        <x:v>This ordinary paste can repair physical damage and relieve disease-related symptoms.</x:v>
      </x:c>
      <x:c r="D11" s="9" t="s">
        <x:v>1</x:v>
      </x:c>
      <x:c r="E11" s="9" t="s">
        <x:v>3</x:v>
      </x:c>
      <x:c r="F11" s="9" t="s">
        <x:v>3</x:v>
      </x:c>
      <x:c r="G11" s="9" t="str">
        <x:v>No</x:v>
      </x:c>
      <x:c r="H11" s="11">
        <x:v>0.31209999999999999</x:v>
      </x:c>
      <x:c r="I11" s="8" t="s">
        <x:v>15</x:v>
      </x:c>
      <x:c r="J11" s="8" t="str">
        <x:v>Supported: an ordinary paste claiming to repair physical damage and relieve disease symptoms makes an explicit treatment-effect claim.</x:v>
      </x:c>
      <x:c r="K11" s="8" t="str">
        <x:v>Directly relevant: the official case concerns an ordinary paste promoted through disease-treatment and restored-mobility claims.</x:v>
      </x:c>
      <x:c r="L11" s="8" t="str">
        <x:v>Not assessable: historical test_full.csv did not record next_action.</x:v>
      </x:c>
      <x:c r="M11" s="8" t="str">
        <x:v>Partly clear: the reason explains the medical wording risk, but the final publication decision still requires checking the product facts.</x:v>
      </x:c>
      <x:c r="N11" s="10" t="s">
        <x:v>3</x:v>
      </x:c>
      <x:c r="O11" s="10" t="str">
        <x:v>The system label matches the human label, and the citation is directly relevant.</x:v>
      </x:c>
      <x:c r="P11" s="10" t="str">
        <x:v>Completed</x:v>
      </x:c>
      <x:c r="Q11" s="8" t="str">
        <x:v>Human review agrees with high_risk because an ordinary paste is presented as treating disease symptoms.</x:v>
      </x:c>
      <x:c r="R11" s="8" t="str">
        <x:v>Qingdao: treatment claims for an ordinary ointment</x:v>
      </x:c>
      <x:c r="S11" s="8" t="s">
        <x:v>16</x:v>
      </x:c>
      <x:c r="T11" s="21" t="str">
        <x:v>yes</x:v>
      </x:c>
      <x:c r="U11" s="21" t="str">
        <x:v>yes</x:v>
      </x:c>
      <x:c r="V11" s="21" t="str">
        <x:v>yes</x:v>
      </x:c>
      <x:c r="W11" s="21" t="str">
        <x:v>not_applicable</x:v>
      </x:c>
      <x:c r="X11" s="21" t="str">
        <x:v>uncertain</x:v>
      </x:c>
      <x:c r="Y11" s="21" t="str">
        <x:v>high_risk</x:v>
      </x:c>
      <x:c r="Z11" s="21" t="str">
        <x:v>completed</x:v>
      </x:c>
    </x:row>
    <x:row r="12" ht="78" customHeight="1">
      <x:c r="A12" s="9">
        <x:v>6</x:v>
      </x:c>
      <x:c r="B12" s="9" t="s">
        <x:v>17</x:v>
      </x:c>
      <x:c r="C12" s="8" t="str">
        <x:v>This product can comprehensively improve bodily functions and performs far better than comparable products.</x:v>
      </x:c>
      <x:c r="D12" s="9" t="s">
        <x:v>1</x:v>
      </x:c>
      <x:c r="E12" s="9" t="s">
        <x:v>2</x:v>
      </x:c>
      <x:c r="F12" s="9" t="s">
        <x:v>3</x:v>
      </x:c>
      <x:c r="G12" s="9" t="str">
        <x:v>No</x:v>
      </x:c>
      <x:c r="H12" s="11">
        <x:v>0.36980000000000002</x:v>
      </x:c>
      <x:c r="I12" s="8" t="s">
        <x:v>18</x:v>
      </x:c>
      <x:c r="J12" s="8" t="str">
        <x:v>Partial support: broad claims of improved bodily function and superiority to comparable products need evidence. The input alone does not establish high risk.</x:v>
      </x:c>
      <x:c r="K12" s="8" t="str">
        <x:v>Partly relevant: the source concerns false health or improvement claims for ordinary food, but not the same broad bodily-function claim.</x:v>
      </x:c>
      <x:c r="L12" s="8" t="str">
        <x:v>Not assessable: historical test_full.csv did not record next_action.</x:v>
      </x:c>
      <x:c r="M12" s="8" t="str">
        <x:v>Insufficient: the reason cites a lack of scientific support without first calling for product and comparison evidence.</x:v>
      </x:c>
      <x:c r="N12" s="10" t="s">
        <x:v>2</x:v>
      </x:c>
      <x:c r="O12" s="10" t="str">
        <x:v>Overclassified: requesting supporting evidence fits the reference label better.</x:v>
      </x:c>
      <x:c r="P12" s="10" t="str">
        <x:v>Completed</x:v>
      </x:c>
      <x:c r="Q12" s="8" t="str">
        <x:v>Human review favors evidence_needed for the performance and comparative claims.</x:v>
      </x:c>
      <x:c r="R12" s="8" t="str">
        <x:v>Shanwei: cognitive and sleep claims for candy</x:v>
      </x:c>
      <x:c r="S12" s="8" t="s">
        <x:v>10</x:v>
      </x:c>
      <x:c r="T12" s="21" t="str">
        <x:v>yes</x:v>
      </x:c>
      <x:c r="U12" s="21" t="str">
        <x:v>yes</x:v>
      </x:c>
      <x:c r="V12" s="21" t="str">
        <x:v>uncertain</x:v>
      </x:c>
      <x:c r="W12" s="21" t="str">
        <x:v>not_applicable</x:v>
      </x:c>
      <x:c r="X12" s="21" t="str">
        <x:v>no</x:v>
      </x:c>
      <x:c r="Y12" s="21" t="str">
        <x:v>evidence_needed</x:v>
      </x:c>
      <x:c r="Z12" s="21" t="str">
        <x:v>completed</x:v>
      </x:c>
    </x:row>
    <x:row r="13" ht="78" customHeight="1">
      <x:c r="A13" s="9">
        <x:v>7</x:v>
      </x:c>
      <x:c r="B13" s="9" t="s">
        <x:v>19</x:v>
      </x:c>
      <x:c r="C13" s="8" t="str">
        <x:v>All pearls sold by this store are natural and are supplied with genuine authoritative certificates.</x:v>
      </x:c>
      <x:c r="D13" s="9" t="s">
        <x:v>1</x:v>
      </x:c>
      <x:c r="E13" s="9" t="s">
        <x:v>2</x:v>
      </x:c>
      <x:c r="F13" s="9" t="s">
        <x:v>3</x:v>
      </x:c>
      <x:c r="G13" s="9" t="str">
        <x:v>No</x:v>
      </x:c>
      <x:c r="H13" s="11">
        <x:v>0.73229999999999995</x:v>
      </x:c>
      <x:c r="I13" s="8" t="s">
        <x:v>20</x:v>
      </x:c>
      <x:c r="J13" s="8" t="str">
        <x:v>Partial support: natural pearls and authoritative certificates are authenticity claims requiring this store's appraisal and certificate records.</x:v>
      </x:c>
      <x:c r="K13" s="8" t="str">
        <x:v>Highly relevant, but not direct proof: the official case involved imitation pearls and forged certificates. It supports verification, not an allegation about this store.</x:v>
      </x:c>
      <x:c r="L13" s="8" t="str">
        <x:v>Not assessable: historical test_full.csv did not record next_action.</x:v>
      </x:c>
      <x:c r="M13" s="8" t="str">
        <x:v>Insufficient: the reason moves from an earlier seller's conduct to concern about the current goods without clearly separating the two.</x:v>
      </x:c>
      <x:c r="N13" s="10" t="s">
        <x:v>2</x:v>
      </x:c>
      <x:c r="O13" s="10" t="str">
        <x:v>Overclassified: analogous risk does not establish the current facts.</x:v>
      </x:c>
      <x:c r="P13" s="10" t="str">
        <x:v>Completed</x:v>
      </x:c>
      <x:c r="Q13" s="8" t="str">
        <x:v>Human review favors evidence_needed pending appraisal and certificate checks.</x:v>
      </x:c>
      <x:c r="R13" s="8" t="str">
        <x:v>Zhuji: imitation pearls sold as genuine</x:v>
      </x:c>
      <x:c r="S13" s="8" t="s">
        <x:v>16</x:v>
      </x:c>
      <x:c r="T13" s="21" t="str">
        <x:v>yes</x:v>
      </x:c>
      <x:c r="U13" s="21" t="str">
        <x:v>yes</x:v>
      </x:c>
      <x:c r="V13" s="21" t="str">
        <x:v>uncertain</x:v>
      </x:c>
      <x:c r="W13" s="21" t="str">
        <x:v>not_applicable</x:v>
      </x:c>
      <x:c r="X13" s="21" t="str">
        <x:v>no</x:v>
      </x:c>
      <x:c r="Y13" s="21" t="str">
        <x:v>evidence_needed</x:v>
      </x:c>
      <x:c r="Z13" s="21" t="str">
        <x:v>completed</x:v>
      </x:c>
    </x:row>
    <x:row r="14" ht="78" customHeight="1">
      <x:c r="A14" s="9">
        <x:v>8</x:v>
      </x:c>
      <x:c r="B14" s="9" t="s">
        <x:v>21</x:v>
      </x:c>
      <x:c r="C14" s="8" t="str">
        <x:v>All Hetian jade sold in the livestream comes from the mine shown by the host and has a completely reliable origin.</x:v>
      </x:c>
      <x:c r="D14" s="9" t="s">
        <x:v>1</x:v>
      </x:c>
      <x:c r="E14" s="9" t="s">
        <x:v>2</x:v>
      </x:c>
      <x:c r="F14" s="9" t="s">
        <x:v>22</x:v>
      </x:c>
      <x:c r="G14" s="9" t="str">
        <x:v>Yes</x:v>
      </x:c>
      <x:c r="H14" s="11">
        <x:v>0.2928</x:v>
      </x:c>
      <x:c r="I14" s="8" t="s">
        <x:v>23</x:v>
      </x:c>
      <x:c r="J14" s="8" t="str">
        <x:v>Human review is supported: the mine-origin and completely reliable provenance claims need supply-chain and origin records; abstention fits the low retrieval score.</x:v>
      </x:c>
      <x:c r="K14" s="8" t="str">
        <x:v>No citation: the 0.2928 similarity score is below the provisional 0.30 threshold, so the system returned no source.</x:v>
      </x:c>
      <x:c r="L14" s="8" t="str">
        <x:v>Not assessable: historical test_full.csv did not record next_action.</x:v>
      </x:c>
      <x:c r="M14" s="8" t="str">
        <x:v>Clear about the threshold and human review, but it does not identify the origin and supply-chain records to check.</x:v>
      </x:c>
      <x:c r="N14" s="10" t="s">
        <x:v>2</x:v>
      </x:c>
      <x:c r="O14" s="10" t="str">
        <x:v>Abstention is consistent with the current retrieval rule.</x:v>
      </x:c>
      <x:c r="P14" s="10" t="str">
        <x:v>Completed</x:v>
      </x:c>
      <x:c r="Q14" s="8" t="str">
        <x:v>Human review favors evidence_needed for the jade-origin claim.</x:v>
      </x:c>
      <x:c r="R14" s="8"/>
      <x:c r="S14" s="8"/>
      <x:c r="T14" s="21" t="str">
        <x:v>no</x:v>
      </x:c>
      <x:c r="U14" s="21" t="str">
        <x:v>not_applicable</x:v>
      </x:c>
      <x:c r="V14" s="21" t="str">
        <x:v>yes</x:v>
      </x:c>
      <x:c r="W14" s="21" t="str">
        <x:v>not_applicable</x:v>
      </x:c>
      <x:c r="X14" s="21" t="str">
        <x:v>yes</x:v>
      </x:c>
      <x:c r="Y14" s="21" t="str">
        <x:v>evidence_needed</x:v>
      </x:c>
      <x:c r="Z14" s="21" t="str">
        <x:v>completed</x:v>
      </x:c>
    </x:row>
    <x:row r="15" ht="78" customHeight="1">
      <x:c r="A15" s="9">
        <x:v>9</x:v>
      </x:c>
      <x:c r="B15" s="9" t="s">
        <x:v>24</x:v>
      </x:c>
      <x:c r="C15" s="8" t="str">
        <x:v>Authoritative research and genuine user feedback prove that royal jelly has pharmacological effects including anti-tumour activity.</x:v>
      </x:c>
      <x:c r="D15" s="9" t="s">
        <x:v>1</x:v>
      </x:c>
      <x:c r="E15" s="9" t="s">
        <x:v>3</x:v>
      </x:c>
      <x:c r="F15" s="9" t="s">
        <x:v>3</x:v>
      </x:c>
      <x:c r="G15" s="9" t="str">
        <x:v>No</x:v>
      </x:c>
      <x:c r="H15" s="11">
        <x:v>0.43120000000000003</x:v>
      </x:c>
      <x:c r="I15" s="8" t="s">
        <x:v>25</x:v>
      </x:c>
      <x:c r="J15" s="8" t="str">
        <x:v>Supported: attributing anti-tumour pharmacological effects to an ordinary bee product is an explicit disease-treatment or drug-effect claim.</x:v>
      </x:c>
      <x:c r="K15" s="8" t="str">
        <x:v>Directly relevant: the official case addresses royal jelly, pharmacological effects, user feedback and research-body claims closely matching this input.</x:v>
      </x:c>
      <x:c r="L15" s="8" t="str">
        <x:v>Not assessable: historical test_full.csv did not record next_action.</x:v>
      </x:c>
      <x:c r="M15" s="8" t="str">
        <x:v>Partly clear: the reason identifies the medical claim, while the precise product and advertising context still need checking.</x:v>
      </x:c>
      <x:c r="N15" s="10" t="s">
        <x:v>3</x:v>
      </x:c>
      <x:c r="O15" s="10" t="str">
        <x:v>The system label matches the human label, and the citation is directly relevant.</x:v>
      </x:c>
      <x:c r="P15" s="10" t="str">
        <x:v>Completed</x:v>
      </x:c>
      <x:c r="Q15" s="8" t="str">
        <x:v>Human review agrees with high_risk because ordinary royal jelly is presented as having pharmacological effects.</x:v>
      </x:c>
      <x:c r="R15" s="8" t="str">
        <x:v>Qiandaohu Chunxin: false royal-jelly claims</x:v>
      </x:c>
      <x:c r="S15" s="8" t="s">
        <x:v>26</x:v>
      </x:c>
      <x:c r="T15" s="21" t="str">
        <x:v>yes</x:v>
      </x:c>
      <x:c r="U15" s="21" t="str">
        <x:v>yes</x:v>
      </x:c>
      <x:c r="V15" s="21" t="str">
        <x:v>yes</x:v>
      </x:c>
      <x:c r="W15" s="21" t="str">
        <x:v>not_applicable</x:v>
      </x:c>
      <x:c r="X15" s="21" t="str">
        <x:v>uncertain</x:v>
      </x:c>
      <x:c r="Y15" s="21" t="str">
        <x:v>high_risk</x:v>
      </x:c>
      <x:c r="Z15" s="21" t="str">
        <x:v>completed</x:v>
      </x:c>
    </x:row>
    <x:row r="16" ht="78" customHeight="1">
      <x:c r="A16" s="9">
        <x:v>10</x:v>
      </x:c>
      <x:c r="B16" s="9" t="s">
        <x:v>27</x:v>
      </x:c>
      <x:c r="C16" s="8" t="str">
        <x:v>Drinking this camel milk powder every day can effectively control blood sugar and other related chronic health conditions.</x:v>
      </x:c>
      <x:c r="D16" s="9" t="s">
        <x:v>1</x:v>
      </x:c>
      <x:c r="E16" s="9" t="s">
        <x:v>3</x:v>
      </x:c>
      <x:c r="F16" s="9" t="s">
        <x:v>3</x:v>
      </x:c>
      <x:c r="G16" s="9" t="str">
        <x:v>No</x:v>
      </x:c>
      <x:c r="H16" s="11">
        <x:v>0.68120000000000003</x:v>
      </x:c>
      <x:c r="I16" s="8" t="s">
        <x:v>28</x:v>
      </x:c>
      <x:c r="J16" s="8" t="str">
        <x:v>Supported: ordinary food advertised as controlling blood sugar and related chronic conditions makes a disease-prevention or treatment claim.</x:v>
      </x:c>
      <x:c r="K16" s="8" t="str">
        <x:v>Directly relevant: the official case involves camel milk powder advertised as lowering blood sugar and addressing the same conditions.</x:v>
      </x:c>
      <x:c r="L16" s="8" t="str">
        <x:v>Not assessable: historical test_full.csv did not record next_action.</x:v>
      </x:c>
      <x:c r="M16" s="8" t="str">
        <x:v>Partly clear: the reason identifies the disease claim, while final review still needs the product type and complete advertising context.</x:v>
      </x:c>
      <x:c r="N16" s="10" t="s">
        <x:v>3</x:v>
      </x:c>
      <x:c r="O16" s="10" t="str">
        <x:v>The system label matches the human label, and the citation is directly relevant.</x:v>
      </x:c>
      <x:c r="P16" s="10" t="str">
        <x:v>Completed</x:v>
      </x:c>
      <x:c r="Q16" s="8" t="str">
        <x:v>Human review agrees with high_risk because the milk powder is promoted for chronic conditions.</x:v>
      </x:c>
      <x:c r="R16" s="8" t="str">
        <x:v>Yunnan Xinghao: disease claims for camel milk powder</x:v>
      </x:c>
      <x:c r="S16" s="8" t="s">
        <x:v>26</x:v>
      </x:c>
      <x:c r="T16" s="21" t="str">
        <x:v>yes</x:v>
      </x:c>
      <x:c r="U16" s="21" t="str">
        <x:v>yes</x:v>
      </x:c>
      <x:c r="V16" s="21" t="str">
        <x:v>yes</x:v>
      </x:c>
      <x:c r="W16" s="21" t="str">
        <x:v>not_applicable</x:v>
      </x:c>
      <x:c r="X16" s="21" t="str">
        <x:v>uncertain</x:v>
      </x:c>
      <x:c r="Y16" s="21" t="str">
        <x:v>high_risk</x:v>
      </x:c>
      <x:c r="Z16" s="21" t="str">
        <x:v>completed</x:v>
      </x:c>
    </x:row>
    <x:row r="17" ht="78" customHeight="1">
      <x:c r="A17" s="9">
        <x:v>11</x:v>
      </x:c>
      <x:c r="B17" s="9" t="s">
        <x:v>29</x:v>
      </x:c>
      <x:c r="C17" s="8" t="str">
        <x:v>This notebook is available with lined or blank pages.</x:v>
      </x:c>
      <x:c r="D17" s="9" t="s">
        <x:v>30</x:v>
      </x:c>
      <x:c r="E17" s="9" t="s">
        <x:v>31</x:v>
      </x:c>
      <x:c r="F17" s="9" t="s">
        <x:v>22</x:v>
      </x:c>
      <x:c r="G17" s="9" t="str">
        <x:v>Yes</x:v>
      </x:c>
      <x:c r="H17" s="11">
        <x:v>0.11409999999999999</x:v>
      </x:c>
      <x:c r="I17" s="8" t="s">
        <x:v>23</x:v>
      </x:c>
      <x:c r="J17" s="8" t="str">
        <x:v>Low risk under the configured checks: this describes notebook page options. Threshold-based abstention nevertheless reduces coverage of ordinary product descriptions.</x:v>
      </x:c>
      <x:c r="K17" s="8" t="str">
        <x:v>No citation: the system abstained below the threshold. The input itself supports the limited low-risk reference label.</x:v>
      </x:c>
      <x:c r="L17" s="8" t="str">
        <x:v>Not assessable: historical test_full.csv did not record next_action.</x:v>
      </x:c>
      <x:c r="M17" s="8" t="str">
        <x:v>Clear about abstention, but the system does not distinguish a routine specification from a potentially risky claim.</x:v>
      </x:c>
      <x:c r="N17" s="10" t="s">
        <x:v>31</x:v>
      </x:c>
      <x:c r="O17" s="10" t="str">
        <x:v>Abstention follows the current threshold rule, but this low-risk item is not covered.</x:v>
      </x:c>
      <x:c r="P17" s="10" t="str">
        <x:v>Completed</x:v>
      </x:c>
      <x:c r="Q17" s="8" t="str">
        <x:v>Human review favors low_risk for the page-format description.</x:v>
      </x:c>
      <x:c r="R17" s="8"/>
      <x:c r="S17" s="8"/>
      <x:c r="T17" s="21" t="str">
        <x:v>no</x:v>
      </x:c>
      <x:c r="U17" s="21" t="str">
        <x:v>not_applicable</x:v>
      </x:c>
      <x:c r="V17" s="21" t="str">
        <x:v>yes</x:v>
      </x:c>
      <x:c r="W17" s="21" t="str">
        <x:v>not_applicable</x:v>
      </x:c>
      <x:c r="X17" s="21" t="str">
        <x:v>yes</x:v>
      </x:c>
      <x:c r="Y17" s="21" t="str">
        <x:v>low_risk</x:v>
      </x:c>
      <x:c r="Z17" s="21" t="str">
        <x:v>completed</x:v>
      </x:c>
    </x:row>
    <x:row r="18" ht="78" customHeight="1">
      <x:c r="A18" s="9">
        <x:v>12</x:v>
      </x:c>
      <x:c r="B18" s="9" t="s">
        <x:v>32</x:v>
      </x:c>
      <x:c r="C18" s="8" t="str">
        <x:v>This Bluetooth speaker sold more than one million units in one year.</x:v>
      </x:c>
      <x:c r="D18" s="9" t="s">
        <x:v>30</x:v>
      </x:c>
      <x:c r="E18" s="9" t="s">
        <x:v>2</x:v>
      </x:c>
      <x:c r="F18" s="9" t="s">
        <x:v>22</x:v>
      </x:c>
      <x:c r="G18" s="9" t="str">
        <x:v>Yes</x:v>
      </x:c>
      <x:c r="H18" s="11">
        <x:v>0.2661</x:v>
      </x:c>
      <x:c r="I18" s="8" t="s">
        <x:v>23</x:v>
      </x:c>
      <x:c r="J18" s="8" t="str">
        <x:v>Human review is supported: more than one million annual sales is a verifiable claim needing platform, order or sales records.</x:v>
      </x:c>
      <x:c r="K18" s="8" t="str">
        <x:v>No citation: the system abstained below the threshold; the sales count needs independent records.</x:v>
      </x:c>
      <x:c r="L18" s="8" t="str">
        <x:v>Not assessable: historical test_full.csv did not record next_action.</x:v>
      </x:c>
      <x:c r="M18" s="8" t="str">
        <x:v>Clear about insufficient retrieval evidence, but it does not identify which sales records to check.</x:v>
      </x:c>
      <x:c r="N18" s="10" t="s">
        <x:v>2</x:v>
      </x:c>
      <x:c r="O18" s="10" t="str">
        <x:v>Abstention is consistent with the current retrieval rule.</x:v>
      </x:c>
      <x:c r="P18" s="10" t="str">
        <x:v>Completed</x:v>
      </x:c>
      <x:c r="Q18" s="8" t="str">
        <x:v>Human review favors evidence_needed for the annual sales figure.</x:v>
      </x:c>
      <x:c r="R18" s="8"/>
      <x:c r="S18" s="8"/>
      <x:c r="T18" s="21" t="str">
        <x:v>no</x:v>
      </x:c>
      <x:c r="U18" s="21" t="str">
        <x:v>not_applicable</x:v>
      </x:c>
      <x:c r="V18" s="21" t="str">
        <x:v>yes</x:v>
      </x:c>
      <x:c r="W18" s="21" t="str">
        <x:v>not_applicable</x:v>
      </x:c>
      <x:c r="X18" s="21" t="str">
        <x:v>yes</x:v>
      </x:c>
      <x:c r="Y18" s="21" t="str">
        <x:v>evidence_needed</x:v>
      </x:c>
      <x:c r="Z18" s="21" t="str">
        <x:v>completed</x:v>
      </x:c>
    </x:row>
    <x:row r="19" ht="78" customHeight="1">
      <x:c r="A19" s="9">
        <x:v>13</x:v>
      </x:c>
      <x:c r="B19" s="9" t="s">
        <x:v>33</x:v>
      </x:c>
      <x:c r="C19" s="8" t="str">
        <x:v>This ordinary milk drink can treat anaemia.</x:v>
      </x:c>
      <x:c r="D19" s="9" t="s">
        <x:v>30</x:v>
      </x:c>
      <x:c r="E19" s="9" t="s">
        <x:v>3</x:v>
      </x:c>
      <x:c r="F19" s="9" t="s">
        <x:v>3</x:v>
      </x:c>
      <x:c r="G19" s="9" t="str">
        <x:v>No</x:v>
      </x:c>
      <x:c r="H19" s="11">
        <x:v>0.49709999999999999</x:v>
      </x:c>
      <x:c r="I19" s="8" t="s">
        <x:v>34</x:v>
      </x:c>
      <x:c r="J19" s="8" t="str">
        <x:v>Supported: an ordinary milk drink advertised as treating anaemia makes an explicit disease-treatment claim.</x:v>
      </x:c>
      <x:c r="K19" s="8" t="str">
        <x:v>Partly relevant: the cited case concerns disease-related claims for ordinary food, but not anaemia or this milk drink.</x:v>
      </x:c>
      <x:c r="L19" s="8" t="str">
        <x:v>Not assessable: historical test_full.csv did not record next_action.</x:v>
      </x:c>
      <x:c r="M19" s="8" t="str">
        <x:v>Partly clear: the reason identifies the treatment risk, but wording that a similar case proves wrongdoing could imply a conclusion about this product.</x:v>
      </x:c>
      <x:c r="N19" s="10" t="s">
        <x:v>3</x:v>
      </x:c>
      <x:c r="O19" s="10" t="str">
        <x:v>The system label matches the human label; the citation supports the category-level risk.</x:v>
      </x:c>
      <x:c r="P19" s="10" t="str">
        <x:v>Completed</x:v>
      </x:c>
      <x:c r="Q19" s="8" t="str">
        <x:v>Human review agrees with high_risk for the anaemia-treatment wording.</x:v>
      </x:c>
      <x:c r="R19" s="8" t="str">
        <x:v>Chengmai Hengsheng Hospital: health claims for beverage powder</x:v>
      </x:c>
      <x:c r="S19" s="8" t="s">
        <x:v>35</x:v>
      </x:c>
      <x:c r="T19" s="21" t="str">
        <x:v>yes</x:v>
      </x:c>
      <x:c r="U19" s="21" t="str">
        <x:v>yes</x:v>
      </x:c>
      <x:c r="V19" s="21" t="str">
        <x:v>yes</x:v>
      </x:c>
      <x:c r="W19" s="21" t="str">
        <x:v>not_applicable</x:v>
      </x:c>
      <x:c r="X19" s="21" t="str">
        <x:v>uncertain</x:v>
      </x:c>
      <x:c r="Y19" s="21" t="str">
        <x:v>high_risk</x:v>
      </x:c>
      <x:c r="Z19" s="21" t="str">
        <x:v>completed</x:v>
      </x:c>
    </x:row>
    <x:row r="20" ht="78" customHeight="1">
      <x:c r="A20" s="9">
        <x:v>14</x:v>
      </x:c>
      <x:c r="B20" s="9" t="s">
        <x:v>36</x:v>
      </x:c>
      <x:c r="C20" s="8" t="str">
        <x:v>This umbrella is available in yellow and black.</x:v>
      </x:c>
      <x:c r="D20" s="9" t="s">
        <x:v>30</x:v>
      </x:c>
      <x:c r="E20" s="9" t="s">
        <x:v>31</x:v>
      </x:c>
      <x:c r="F20" s="9" t="s">
        <x:v>31</x:v>
      </x:c>
      <x:c r="G20" s="9" t="str">
        <x:v>No</x:v>
      </x:c>
      <x:c r="H20" s="11">
        <x:v>0.34699999999999998</x:v>
      </x:c>
      <x:c r="I20" s="8" t="s">
        <x:v>37</x:v>
      </x:c>
      <x:c r="J20" s="8" t="str">
        <x:v>Supported: the claim only lists umbrella colour options and triggers no configured risk; the listing should still match the goods.</x:v>
      </x:c>
      <x:c r="K20" s="8" t="str">
        <x:v>No citation: the colour description can be checked against the goods, and this low-risk result does not require a case citation.</x:v>
      </x:c>
      <x:c r="L20" s="8" t="str">
        <x:v>Not assessable: historical test_full.csv did not record next_action.</x:v>
      </x:c>
      <x:c r="M20" s="8" t="str">
        <x:v>Mostly clear: the model states that no configured risk was found and does not present the result as approval.</x:v>
      </x:c>
      <x:c r="N20" s="10" t="s">
        <x:v>31</x:v>
      </x:c>
      <x:c r="O20" s="10" t="str">
        <x:v>The system label matches the human label; no citation is acceptable here.</x:v>
      </x:c>
      <x:c r="P20" s="10" t="str">
        <x:v>Completed</x:v>
      </x:c>
      <x:c r="Q20" s="8" t="str">
        <x:v>Human review agrees with low_risk for the colour-options description.</x:v>
      </x:c>
      <x:c r="R20" s="8"/>
      <x:c r="S20" s="8"/>
      <x:c r="T20" s="21" t="str">
        <x:v>no</x:v>
      </x:c>
      <x:c r="U20" s="21" t="str">
        <x:v>not_applicable</x:v>
      </x:c>
      <x:c r="V20" s="21" t="str">
        <x:v>yes</x:v>
      </x:c>
      <x:c r="W20" s="21" t="str">
        <x:v>not_applicable</x:v>
      </x:c>
      <x:c r="X20" s="21" t="str">
        <x:v>yes</x:v>
      </x:c>
      <x:c r="Y20" s="21" t="str">
        <x:v>low_risk</x:v>
      </x:c>
      <x:c r="Z20" s="21" t="str">
        <x:v>completed</x:v>
      </x:c>
    </x:row>
    <x:row r="21" ht="78" customHeight="1">
      <x:c r="A21" s="9">
        <x:v>15</x:v>
      </x:c>
      <x:c r="B21" s="9" t="s">
        <x:v>38</x:v>
      </x:c>
      <x:c r="C21" s="8" t="str">
        <x:v>This sun-protective jacket has a UPF rating of 50+.</x:v>
      </x:c>
      <x:c r="D21" s="9" t="s">
        <x:v>30</x:v>
      </x:c>
      <x:c r="E21" s="9" t="s">
        <x:v>2</x:v>
      </x:c>
      <x:c r="F21" s="9" t="s">
        <x:v>22</x:v>
      </x:c>
      <x:c r="G21" s="9" t="str">
        <x:v>Yes</x:v>
      </x:c>
      <x:c r="H21" s="11">
        <x:v>0.26019999999999999</x:v>
      </x:c>
      <x:c r="I21" s="8" t="s">
        <x:v>23</x:v>
      </x:c>
      <x:c r="J21" s="8" t="str">
        <x:v>Human review is supported: UPF 50+ is a testable performance rating needing a test report, standard and applicable conditions.</x:v>
      </x:c>
      <x:c r="K21" s="8" t="str">
        <x:v>No citation: the system abstained below the threshold; the rating needs product testing records.</x:v>
      </x:c>
      <x:c r="L21" s="8" t="str">
        <x:v>Not assessable: historical test_full.csv did not record next_action.</x:v>
      </x:c>
      <x:c r="M21" s="8" t="str">
        <x:v>Clear about abstention, but it does not identify the test standard or conditions to verify.</x:v>
      </x:c>
      <x:c r="N21" s="10" t="s">
        <x:v>2</x:v>
      </x:c>
      <x:c r="O21" s="10" t="str">
        <x:v>Abstention is consistent with the current retrieval rule.</x:v>
      </x:c>
      <x:c r="P21" s="10" t="str">
        <x:v>Completed</x:v>
      </x:c>
      <x:c r="Q21" s="8" t="str">
        <x:v>Human review favors evidence_needed for the UPF rating.</x:v>
      </x:c>
      <x:c r="R21" s="8"/>
      <x:c r="S21" s="8"/>
      <x:c r="T21" s="21" t="str">
        <x:v>no</x:v>
      </x:c>
      <x:c r="U21" s="21" t="str">
        <x:v>not_applicable</x:v>
      </x:c>
      <x:c r="V21" s="21" t="str">
        <x:v>yes</x:v>
      </x:c>
      <x:c r="W21" s="21" t="str">
        <x:v>not_applicable</x:v>
      </x:c>
      <x:c r="X21" s="21" t="str">
        <x:v>yes</x:v>
      </x:c>
      <x:c r="Y21" s="21" t="str">
        <x:v>evidence_needed</x:v>
      </x:c>
      <x:c r="Z21" s="21" t="str">
        <x:v>completed</x:v>
      </x:c>
    </x:row>
    <x:row r="22" ht="78" customHeight="1">
      <x:c r="A22" s="9">
        <x:v>16</x:v>
      </x:c>
      <x:c r="B22" s="9" t="s">
        <x:v>39</x:v>
      </x:c>
      <x:c r="C22" s="8" t="str">
        <x:v>This ordinary chewing gum can cure periodontitis.</x:v>
      </x:c>
      <x:c r="D22" s="9" t="s">
        <x:v>30</x:v>
      </x:c>
      <x:c r="E22" s="9" t="s">
        <x:v>3</x:v>
      </x:c>
      <x:c r="F22" s="9" t="s">
        <x:v>3</x:v>
      </x:c>
      <x:c r="G22" s="9" t="str">
        <x:v>No</x:v>
      </x:c>
      <x:c r="H22" s="11">
        <x:v>0.42049999999999998</x:v>
      </x:c>
      <x:c r="I22" s="8" t="s">
        <x:v>40</x:v>
      </x:c>
      <x:c r="J22" s="8" t="str">
        <x:v>Supported: ordinary chewing gum claiming to cure periodontitis makes an explicit disease-treatment promise.</x:v>
      </x:c>
      <x:c r="K22" s="8" t="str">
        <x:v>Partly relevant: the source concerns unsupported health effects for ordinary food, not chewing gum or periodontitis.</x:v>
      </x:c>
      <x:c r="L22" s="8" t="str">
        <x:v>Not assessable: historical test_full.csv did not record next_action.</x:v>
      </x:c>
      <x:c r="M22" s="8" t="str">
        <x:v>Partly clear: the reason identifies the cure claim, but should state that the citation supports only category-level context.</x:v>
      </x:c>
      <x:c r="N22" s="10" t="s">
        <x:v>3</x:v>
      </x:c>
      <x:c r="O22" s="10" t="str">
        <x:v>The system label matches the human label; the citation provides partial support.</x:v>
      </x:c>
      <x:c r="P22" s="10" t="str">
        <x:v>Completed</x:v>
      </x:c>
      <x:c r="Q22" s="8" t="str">
        <x:v>Human review agrees with high_risk because the gum is advertised as curing a disease.</x:v>
      </x:c>
      <x:c r="R22" s="8" t="str">
        <x:v>Shanwei: cognitive and sleep claims for candy</x:v>
      </x:c>
      <x:c r="S22" s="8" t="s">
        <x:v>10</x:v>
      </x:c>
      <x:c r="T22" s="21" t="str">
        <x:v>yes</x:v>
      </x:c>
      <x:c r="U22" s="21" t="str">
        <x:v>yes</x:v>
      </x:c>
      <x:c r="V22" s="21" t="str">
        <x:v>yes</x:v>
      </x:c>
      <x:c r="W22" s="21" t="str">
        <x:v>not_applicable</x:v>
      </x:c>
      <x:c r="X22" s="21" t="str">
        <x:v>uncertain</x:v>
      </x:c>
      <x:c r="Y22" s="21" t="str">
        <x:v>high_risk</x:v>
      </x:c>
      <x:c r="Z22" s="21" t="str">
        <x:v>completed</x:v>
      </x:c>
    </x:row>
    <x:row r="23" ht="78" customHeight="1">
      <x:c r="A23" s="9">
        <x:v>17</x:v>
      </x:c>
      <x:c r="B23" s="9" t="s">
        <x:v>41</x:v>
      </x:c>
      <x:c r="C23" s="8" t="str">
        <x:v>Wearing these ordinary socks will prevent varicose veins with 100% certainty.</x:v>
      </x:c>
      <x:c r="D23" s="9" t="s">
        <x:v>30</x:v>
      </x:c>
      <x:c r="E23" s="9" t="s">
        <x:v>3</x:v>
      </x:c>
      <x:c r="F23" s="9" t="s">
        <x:v>22</x:v>
      </x:c>
      <x:c r="G23" s="9" t="str">
        <x:v>Yes</x:v>
      </x:c>
      <x:c r="H23" s="11">
        <x:v>0.28810000000000002</x:v>
      </x:c>
      <x:c r="I23" s="8" t="s">
        <x:v>23</x:v>
      </x:c>
      <x:c r="J23" s="8" t="str">
        <x:v>Abstention follows the threshold rule, but it misses an obvious signal: ordinary socks promising 100% prevention of varicose veins make an absolute disease-prevention claim.</x:v>
      </x:c>
      <x:c r="K23" s="8" t="str">
        <x:v>No citation: retrieval was below the threshold. The human label follows from the disease-prevention and absolute-guarantee wording.</x:v>
      </x:c>
      <x:c r="L23" s="8" t="str">
        <x:v>Not assessable: historical test_full.csv did not record next_action.</x:v>
      </x:c>
      <x:c r="M23" s="8" t="str">
        <x:v>Clear about why the system abstained, but it does not flag the strong prevention claim already present in the input.</x:v>
      </x:c>
      <x:c r="N23" s="10" t="s">
        <x:v>3</x:v>
      </x:c>
      <x:c r="O23" s="10" t="str">
        <x:v>Abstention follows the threshold rule, but the rules miss disease prevention and an absolute guarantee.</x:v>
      </x:c>
      <x:c r="P23" s="10" t="str">
        <x:v>Completed</x:v>
      </x:c>
      <x:c r="Q23" s="8" t="str">
        <x:v>Human review favors high_risk for the 100% disease-prevention promise.</x:v>
      </x:c>
      <x:c r="R23" s="8"/>
      <x:c r="S23" s="8"/>
      <x:c r="T23" s="21" t="str">
        <x:v>no</x:v>
      </x:c>
      <x:c r="U23" s="21" t="str">
        <x:v>not_applicable</x:v>
      </x:c>
      <x:c r="V23" s="21" t="str">
        <x:v>no</x:v>
      </x:c>
      <x:c r="W23" s="21" t="str">
        <x:v>not_applicable</x:v>
      </x:c>
      <x:c r="X23" s="21" t="str">
        <x:v>yes</x:v>
      </x:c>
      <x:c r="Y23" s="21" t="str">
        <x:v>high_risk</x:v>
      </x:c>
      <x:c r="Z23" s="21" t="str">
        <x:v>completed</x:v>
      </x:c>
    </x:row>
    <x:row r="24" ht="78" customHeight="1">
      <x:c r="A24" s="9">
        <x:v>18</x:v>
      </x:c>
      <x:c r="B24" s="9" t="s">
        <x:v>42</x:v>
      </x:c>
      <x:c r="C24" s="8" t="str">
        <x:v>This air purifier removes 99.9% of fine indoor dust.</x:v>
      </x:c>
      <x:c r="D24" s="9" t="s">
        <x:v>30</x:v>
      </x:c>
      <x:c r="E24" s="9" t="s">
        <x:v>2</x:v>
      </x:c>
      <x:c r="F24" s="9" t="s">
        <x:v>22</x:v>
      </x:c>
      <x:c r="G24" s="9" t="str">
        <x:v>Yes</x:v>
      </x:c>
      <x:c r="H24" s="11">
        <x:v>0.29170000000000001</x:v>
      </x:c>
      <x:c r="I24" s="8" t="s">
        <x:v>23</x:v>
      </x:c>
      <x:c r="J24" s="8" t="str">
        <x:v>Human review is supported: a 99.9% indoor dust-removal claim needs defined test conditions and a performance report.</x:v>
      </x:c>
      <x:c r="K24" s="8" t="str">
        <x:v>No citation: the system abstained below the threshold; quantified efficacy needs product-test evidence.</x:v>
      </x:c>
      <x:c r="L24" s="8" t="str">
        <x:v>Not assessable: historical test_full.csv did not record next_action.</x:v>
      </x:c>
      <x:c r="M24" s="8" t="str">
        <x:v>Clear about abstention, but it does not identify the test environment or particle range.</x:v>
      </x:c>
      <x:c r="N24" s="10" t="s">
        <x:v>2</x:v>
      </x:c>
      <x:c r="O24" s="10" t="str">
        <x:v>Abstention is consistent with the current retrieval rule.</x:v>
      </x:c>
      <x:c r="P24" s="10" t="str">
        <x:v>Completed</x:v>
      </x:c>
      <x:c r="Q24" s="8" t="str">
        <x:v>Human review favors evidence_needed for the quantified removal claim.</x:v>
      </x:c>
      <x:c r="R24" s="8"/>
      <x:c r="S24" s="8"/>
      <x:c r="T24" s="21" t="str">
        <x:v>no</x:v>
      </x:c>
      <x:c r="U24" s="21" t="str">
        <x:v>not_applicable</x:v>
      </x:c>
      <x:c r="V24" s="21" t="str">
        <x:v>yes</x:v>
      </x:c>
      <x:c r="W24" s="21" t="str">
        <x:v>not_applicable</x:v>
      </x:c>
      <x:c r="X24" s="21" t="str">
        <x:v>yes</x:v>
      </x:c>
      <x:c r="Y24" s="21" t="str">
        <x:v>evidence_needed</x:v>
      </x:c>
      <x:c r="Z24" s="21" t="str">
        <x:v>completed</x:v>
      </x:c>
    </x:row>
    <x:row r="25" ht="78" customHeight="1">
      <x:c r="A25" s="9">
        <x:v>19</x:v>
      </x:c>
      <x:c r="B25" s="9" t="s">
        <x:v>43</x:v>
      </x:c>
      <x:c r="C25" s="8" t="str">
        <x:v>This water bottle received an international design award.</x:v>
      </x:c>
      <x:c r="D25" s="9" t="s">
        <x:v>30</x:v>
      </x:c>
      <x:c r="E25" s="9" t="s">
        <x:v>2</x:v>
      </x:c>
      <x:c r="F25" s="9" t="s">
        <x:v>22</x:v>
      </x:c>
      <x:c r="G25" s="9" t="str">
        <x:v>Yes</x:v>
      </x:c>
      <x:c r="H25" s="11">
        <x:v>0.28570000000000001</x:v>
      </x:c>
      <x:c r="I25" s="8" t="s">
        <x:v>23</x:v>
      </x:c>
      <x:c r="J25" s="8" t="str">
        <x:v>Human review is supported: an international design award is a verifiable fact needing the award name, organiser and winner record.</x:v>
      </x:c>
      <x:c r="K25" s="8" t="str">
        <x:v>No citation: the system abstained below the threshold; award authenticity needs an external record.</x:v>
      </x:c>
      <x:c r="L25" s="8" t="str">
        <x:v>Not assessable: historical test_full.csv did not record next_action.</x:v>
      </x:c>
      <x:c r="M25" s="8" t="str">
        <x:v>Clear about abstention, but it does not point to the specific award record to check.</x:v>
      </x:c>
      <x:c r="N25" s="10" t="s">
        <x:v>2</x:v>
      </x:c>
      <x:c r="O25" s="10" t="str">
        <x:v>Abstention is consistent with the current retrieval rule.</x:v>
      </x:c>
      <x:c r="P25" s="10" t="str">
        <x:v>Completed</x:v>
      </x:c>
      <x:c r="Q25" s="8" t="str">
        <x:v>Human review favors evidence_needed for the award claim.</x:v>
      </x:c>
      <x:c r="R25" s="8"/>
      <x:c r="S25" s="8"/>
      <x:c r="T25" s="21" t="str">
        <x:v>no</x:v>
      </x:c>
      <x:c r="U25" s="21" t="str">
        <x:v>not_applicable</x:v>
      </x:c>
      <x:c r="V25" s="21" t="str">
        <x:v>yes</x:v>
      </x:c>
      <x:c r="W25" s="21" t="str">
        <x:v>not_applicable</x:v>
      </x:c>
      <x:c r="X25" s="21" t="str">
        <x:v>yes</x:v>
      </x:c>
      <x:c r="Y25" s="21" t="str">
        <x:v>evidence_needed</x:v>
      </x:c>
      <x:c r="Z25" s="21" t="str">
        <x:v>completed</x:v>
      </x:c>
    </x:row>
    <x:row r="26" ht="78" customHeight="1">
      <x:c r="A26" s="9">
        <x:v>20</x:v>
      </x:c>
      <x:c r="B26" s="9" t="s">
        <x:v>44</x:v>
      </x:c>
      <x:c r="C26" s="8" t="str">
        <x:v>This household cushion guarantees a cure for a herniated lumbar disc.</x:v>
      </x:c>
      <x:c r="D26" s="9" t="s">
        <x:v>30</x:v>
      </x:c>
      <x:c r="E26" s="9" t="s">
        <x:v>3</x:v>
      </x:c>
      <x:c r="F26" s="9" t="s">
        <x:v>22</x:v>
      </x:c>
      <x:c r="G26" s="9" t="str">
        <x:v>Yes</x:v>
      </x:c>
      <x:c r="H26" s="11">
        <x:v>0.17299999999999999</x:v>
      </x:c>
      <x:c r="I26" s="8" t="s">
        <x:v>23</x:v>
      </x:c>
      <x:c r="J26" s="8" t="str">
        <x:v>Abstention follows the threshold rule, but it misses an obvious signal: a household cushion promising a cure for a herniated disc makes a strong treatment claim.</x:v>
      </x:c>
      <x:c r="K26" s="8" t="str">
        <x:v>No citation: retrieval was below the threshold. The human label follows from the guaranteed-cure wording in the input.</x:v>
      </x:c>
      <x:c r="L26" s="8" t="str">
        <x:v>Not assessable: historical test_full.csv did not record next_action.</x:v>
      </x:c>
      <x:c r="M26" s="8" t="str">
        <x:v>Clear about why the system abstained, but it does not flag the cure guarantee already present in the input.</x:v>
      </x:c>
      <x:c r="N26" s="10" t="s">
        <x:v>3</x:v>
      </x:c>
      <x:c r="O26" s="10" t="str">
        <x:v>Abstention follows the threshold rule, but the rules miss the explicit cure guarantee.</x:v>
      </x:c>
      <x:c r="P26" s="10" t="str">
        <x:v>Completed</x:v>
      </x:c>
      <x:c r="Q26" s="8" t="str">
        <x:v>Human review favors high_risk for the guaranteed cure.</x:v>
      </x:c>
      <x:c r="R26" s="8"/>
      <x:c r="S26" s="8"/>
      <x:c r="T26" s="21" t="str">
        <x:v>no</x:v>
      </x:c>
      <x:c r="U26" s="21" t="str">
        <x:v>not_applicable</x:v>
      </x:c>
      <x:c r="V26" s="21" t="str">
        <x:v>no</x:v>
      </x:c>
      <x:c r="W26" s="21" t="str">
        <x:v>not_applicable</x:v>
      </x:c>
      <x:c r="X26" s="21" t="str">
        <x:v>yes</x:v>
      </x:c>
      <x:c r="Y26" s="21" t="str">
        <x:v>high_risk</x:v>
      </x:c>
      <x:c r="Z26" s="21" t="str">
        <x:v>completed</x:v>
      </x:c>
    </x:row>
  </x:sheetData>
  <x:conditionalFormatting sqref="P7:P26">
    <x:cfRule type="containsText" dxfId="2" priority="1" operator="containsText" text="Completed"/>
    <x:cfRule type="containsText" dxfId="1" priority="2" operator="containsText" text="Pending"/>
    <x:cfRule type="containsText" dxfId="0" priority="3" operator="containsText" text="Needs revision"/>
  </x:conditionalFormatting>
  <x:dataValidations count="7">
    <x:dataValidation type="list" sqref="P7:P26">
      <x:formula1>"Completed,Pending,Needs revision"</x:formula1>
    </x:dataValidation>
    <x:dataValidation type="list" sqref="T7:T26">
      <x:formula1>"yes,no,uncertain"</x:formula1>
    </x:dataValidation>
    <x:dataValidation type="list" sqref="U7:V26">
      <x:formula1>"yes,no,uncertain,not_applicable"</x:formula1>
    </x:dataValidation>
    <x:dataValidation type="list" sqref="W7:W26">
      <x:formula1>"yes,no,uncertain,not_applicable"</x:formula1>
    </x:dataValidation>
    <x:dataValidation type="list" sqref="X7:X26">
      <x:formula1>"yes,no,uncertain,not_applicable"</x:formula1>
    </x:dataValidation>
    <x:dataValidation type="list" sqref="Y7:Y26">
      <x:formula1>"high_risk,evidence_needed,low_risk"</x:formula1>
    </x:dataValidation>
    <x:dataValidation type="list" sqref="Z7:Z26">
      <x:formula1>"completed,pending,needs_revision"</x:formula1>
    </x:dataValidation>
  </x:dataValidations>
  <x:pageMargins left="0.7" right="0.7" top="0.75" bottom="0.75" header="0.3" footer="0.3"/>
  <x:tableParts count="1">
    <x:tablePart xmlns:r="http://schemas.openxmlformats.org/officeDocument/2006/relationships" r:id="R78fa3220e44f4c5d"/>
  </x:tableParts>
</x:worksheet>
</file>

<file path=xl/worksheets/sheet2.xml><?xml version="1.0" encoding="utf-8"?>
<x:worksheet xmlns:x="http://schemas.openxmlformats.org/spreadsheetml/2006/main">
  <x:sheetPr>
    <x:tabColor rgb="FF7F8C8D"/>
  </x:sheetPr>
  <x:sheetViews>
    <x:sheetView showGridLines="0" workbookViewId="0">
      <x:pane ySplit="2" topLeftCell="A3" activePane="bottomLeft" state="frozen"/>
    </x:sheetView>
  </x:sheetViews>
  <x:sheetFormatPr defaultRowHeight="13.5"/>
  <x:cols>
    <x:col min="1" max="1" width="18" customWidth="1"/>
    <x:col min="2" max="2" width="95" customWidth="1"/>
  </x:cols>
  <x:sheetData>
    <x:row r="1" ht="18.75">
      <x:c r="A1" s="1" t="str">
        <x:v>Review notes</x:v>
      </x:c>
      <x:c r="B1" s="2"/>
    </x:row>
    <x:row r="2">
      <x:c r="A2" s="2"/>
      <x:c r="B2" s="2"/>
    </x:row>
    <x:row r="3" ht="42" customHeight="1">
      <x:c r="A3" s="15" t="str">
        <x:v>Purpose</x:v>
      </x:c>
      <x:c r="B3" s="12" t="str">
        <x:v>Manual quality review of 20 locked-test results.</x:v>
      </x:c>
    </x:row>
    <x:row r="4" ht="42" customHeight="1">
      <x:c r="A4" s="16" t="str">
        <x:v>Sample</x:v>
      </x:c>
      <x:c r="B4" s="13" t="str">
        <x:v>Ten case-derived and ten synthetic test claims.</x:v>
      </x:c>
    </x:row>
    <x:row r="5" ht="42" customHeight="1">
      <x:c r="A5" s="16" t="str">
        <x:v>Reference labels</x:v>
      </x:c>
      <x:c r="B5" s="13" t="str">
        <x:v>Project-defined labels support comparison. insufficient_evidence is an abstention, not a reference label.</x:v>
      </x:c>
    </x:row>
    <x:row r="6" ht="42" customHeight="1">
      <x:c r="A6" s="16" t="str">
        <x:v>Citation checks</x:v>
      </x:c>
      <x:c r="B6" s="13" t="str">
        <x:v>Present citations were checked against source pages. Partial support indicates comparable risk, not a finding about the current seller.</x:v>
      </x:c>
    </x:row>
    <x:row r="7" ht="42" customHeight="1">
      <x:c r="A7" s="16" t="str">
        <x:v>Actionability</x:v>
      </x:c>
      <x:c r="B7" s="13" t="str">
        <x:v>Historical test_full.csv lacks next_action; actionability is not_applicable for all 20 reviews.</x:v>
      </x:c>
    </x:row>
    <x:row r="8" ht="42" customHeight="1">
      <x:c r="A8" s="16" t="str">
        <x:v>Coded fields</x:v>
      </x:c>
      <x:c r="B8" s="13" t="str">
        <x:v>Columns T-Z retain the structured review codes. A missing citation is coded not_applicable for citation_supported.</x:v>
      </x:c>
    </x:row>
    <x:row r="9" ht="42" customHeight="1">
      <x:c r="A9" s="16" t="str">
        <x:v>Status</x:v>
      </x:c>
      <x:c r="B9" s="13" t="str">
        <x:v>All 20 manual reviews are complete; review_status is completed in column Z.</x:v>
      </x:c>
    </x:row>
    <x:row r="10" ht="42" customHeight="1">
      <x:c r="A10" s="16" t="str">
        <x:v>Display text</x:v>
      </x:c>
      <x:c r="B10" s="13" t="str">
        <x:v>English claim translations come from data/claims.csv. English case titles come from assets/case-summaries-en.json. Original Chinese text remains in the source files.</x:v>
      </x:c>
    </x:row>
    <x:row r="11" ht="42" customHeight="1">
      <x:c r="A11" s="17" t="str">
        <x:v>Low risk</x:v>
      </x:c>
      <x:c r="B11" s="14" t="str">
        <x:v>low_risk means no concern was found by the configured checks.</x:v>
      </x:c>
    </x:row>
  </x:sheetData>
  <x:pageMargins left="0.7" right="0.7" top="0.75" bottom="0.75" header="0.3" footer="0.3"/>
</x:worksheet>
</file>