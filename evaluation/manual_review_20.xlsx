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18760452d7458f" /></Relationships>
</file>

<file path=xl/workbook.xml><?xml version="1.0" encoding="utf-8"?>
<x:workbook xmlns:x="http://schemas.openxmlformats.org/spreadsheetml/2006/main">
  <x:sheets>
    <x:sheet xmlns:r="http://schemas.openxmlformats.org/officeDocument/2006/relationships" name="复核记录" sheetId="1" r:id="R539c21922ea6490f"/>
    <x:sheet xmlns:r="http://schemas.openxmlformats.org/officeDocument/2006/relationships" name="使用说明" sheetId="2" r:id="R5e54bd72fab342da"/>
  </x:sheets>
</x:workbook>
</file>

<file path=xl/sharedStrings.xml><?xml version="1.0" encoding="utf-8"?>
<x:sst xmlns:x="http://schemas.openxmlformats.org/spreadsheetml/2006/main">
  <x:si>
    <x:t xml:space="preserve">ClaimTrace 锁定测试集人工复核（20条）</x:t>
  </x:si>
  <x:si>
    <x:t xml:space="preserve">总样本</x:t>
  </x:si>
  <x:si>
    <x:t xml:space="preserve">案例改写</x:t>
  </x:si>
  <x:si>
    <x:t xml:space="preserve">合成新文案</x:t>
  </x:si>
  <x:si>
    <x:t xml:space="preserve">系统转人工</x:t>
  </x:si>
  <x:si>
    <x:t xml:space="preserve">已确认</x:t>
  </x:si>
  <x:si>
    <x:t xml:space="preserve">待确认</x:t>
  </x:si>
  <x:si>
    <x:t xml:space="preserve">序号</x:t>
  </x:si>
  <x:si>
    <x:t xml:space="preserve">claim_id</x:t>
  </x:si>
  <x:si>
    <x:t xml:space="preserve">中文文案</x:t>
  </x:si>
  <x:si>
    <x:t xml:space="preserve">样本类型</x:t>
  </x:si>
  <x:si>
    <x:t xml:space="preserve">参考标签</x:t>
  </x:si>
  <x:si>
    <x:t xml:space="preserve">系统输出</x:t>
  </x:si>
  <x:si>
    <x:t xml:space="preserve">转人工</x:t>
  </x:si>
  <x:si>
    <x:t xml:space="preserve">相似度</x:t>
  </x:si>
  <x:si>
    <x:t xml:space="preserve">模型理由</x:t>
  </x:si>
  <x:si>
    <x:t xml:space="preserve">输入与判断支持</x:t>
  </x:si>
  <x:si>
    <x:t xml:space="preserve">引用支持</x:t>
  </x:si>
  <x:si>
    <x:t xml:space="preserve">建议可执行性</x:t>
  </x:si>
  <x:si>
    <x:t xml:space="preserve">不确定性表达</x:t>
  </x:si>
  <x:si>
    <x:t xml:space="preserve">建议人工标签</x:t>
  </x:si>
  <x:si>
    <x:t xml:space="preserve">系统评价</x:t>
  </x:si>
  <x:si>
    <x:t xml:space="preserve">复核状态</x:t>
  </x:si>
  <x:si>
    <x:t xml:space="preserve">复核说明</x:t>
  </x:si>
  <x:si>
    <x:t xml:space="preserve">引用标题</x:t>
  </x:si>
  <x:si>
    <x:t xml:space="preserve">引用链接</x:t>
  </x:si>
  <x:si>
    <x:t xml:space="preserve">CLAIM031</x:t>
  </x:si>
  <x:si>
    <x:t xml:space="preserve">每月只花9元，这张流量卡就能不限量使用全部高速流量。</x:t>
  </x:si>
  <x:si>
    <x:t xml:space="preserve">case_derived</x:t>
  </x:si>
  <x:si>
    <x:t xml:space="preserve">evidence_needed</x:t>
  </x:si>
  <x:si>
    <x:t xml:space="preserve">high_risk</x:t>
  </x:si>
  <x:si>
    <x:t xml:space="preserve">否</x:t>
  </x:si>
  <x:si>
    <x:t xml:space="preserve">The claim about unlimited high-speed data for only 9 yuan per month is similar to a previous case where a company made a false price claim regarding a mobile data card. This indicates a risk of misleading advertising.</x:t>
  </x:si>
  <x:si>
    <x:t xml:space="preserve">部分支持：低价且不限量属于需核验的量价承诺；相似案例只能提示风险，不能证明当前承诺虚假。</x:t>
  </x:si>
  <x:si>
    <x:t xml:space="preserve">部分支持：官方案例证明另一家公司“超大流量9元/月”与实际不符，只能支持同类风险，不能证明本卡不实。</x:t>
  </x:si>
  <x:si>
    <x:t xml:space="preserve">无法核查：test_full.csv未保存next_action字段。</x:t>
  </x:si>
  <x:si>
    <x:t xml:space="preserve">部分清楚：理由使用风险措辞，但系统仍直接输出high_risk，未充分区分类比风险与当前事实。</x:t>
  </x:si>
  <x:si>
    <x:t xml:space="preserve">过度升级：参考标签要求证据，系统直接判高风险</x:t>
  </x:si>
  <x:si>
    <x:t xml:space="preserve">输入与判断：部分支持：低价且不限量属于需核验的量价承诺；相似案例只能提示风险，不能证明当前承诺虚假。；引用：部分支持：官方案例证明另一家公司“超大流量9元/月”与实际不符，只能支持同类风险，不能证明本卡不实。；建议可执行性：无法核查：test_full.csv未保存next_action字段。；不确定性：部分清楚：理由使用风险措辞，但系统仍直接输出high_risk，未充分区分类比风险与当前事实。；人工结论：当前证据更支持evidence_needed。</x:t>
  </x:si>
  <x:si>
    <x:t xml:space="preserve">北京市昌平区市场监管局查处中智无线（北京）科技有限公司发布违法广告案</x:t>
  </x:si>
  <x:si>
    <x:t xml:space="preserve">https://www.samr.gov.cn/xw/zj/art/2025/art_1212b0d62d0844d58c635269e40efe35.html</x:t>
  </x:si>
  <x:si>
    <x:t xml:space="preserve">CLAIM032</x:t>
  </x:si>
  <x:si>
    <x:t xml:space="preserve">使用这套护肤品七天，就能完全消除红肿、瘙痒和痘痘。</x:t>
  </x:si>
  <x:si>
    <x:t xml:space="preserve">The claim suggests that the skincare product can completely eliminate symptoms such as redness, itching, and acne, which is a strong treatment promise. This is similar to a case where a cosmetic was advertised as treating skin conditions, leading to consumer confusion with pharmaceuticals.</x:t>
  </x:si>
  <x:si>
    <x:t xml:space="preserve">支持：七天“完全消除”多种皮肤症状属于明确、绝对化的治疗效果承诺。</x:t>
  </x:si>
  <x:si>
    <x:t xml:space="preserve">直接相关：官方案例即化妆品宣称治疗红、肿、痒、刺痛和痘痘，与当前症状和产品类型高度一致。</x:t>
  </x:si>
  <x:si>
    <x:t xml:space="preserve">部分清楚：理由说明了相似案例和药品混淆风险，但未明确提示最终发布仍需人工结合产品事实确认。</x:t>
  </x:si>
  <x:si>
    <x:t xml:space="preserve">判断一致，引用直接相关</x:t>
  </x:si>
  <x:si>
    <x:t xml:space="preserve">输入与判断：支持：七天“完全消除”多种皮肤症状属于明确、绝对化的治疗效果承诺。；引用：直接相关：官方案例即化妆品宣称治疗红、肿、痒、刺痛和痘痘，与当前症状和产品类型高度一致。；建议可执行性：无法核查：test_full.csv未保存next_action字段。；不确定性：部分清楚：理由说明了相似案例和药品混淆风险，但未明确提示最终发布仍需人工结合产品事实确认。；人工结论：当前证据更支持high_risk。</x:t>
  </x:si>
  <x:si>
    <x:t xml:space="preserve">浙江省杭州市拱墅区市场监管局查处杭州迅犹贸易有限公司违法广告案</x:t>
  </x:si>
  <x:si>
    <x:t xml:space="preserve">CLAIM034</x:t>
  </x:si>
  <x:si>
    <x:t xml:space="preserve">已有大量消费者亲自证明，这款果冻可以快速减肥。</x:t>
  </x:si>
  <x:si>
    <x:t xml:space="preserve">The claim suggests a strong cure promise for weight loss, which is a high-risk assertion without sufficient evidence to support it. Similar cases have involved unsupported health claims that were deemed illegal.</x:t>
  </x:si>
  <x:si>
    <x:t xml:space="preserve">部分支持：快速减肥和“消费者证明”需要效果证据及评价真实性证明，尚不能仅凭文案认定虚假。</x:t>
  </x:si>
  <x:si>
    <x:t xml:space="preserve">不足：理由将缺少证据直接推向高风险，没有充分说明仍需核验当前评价和产品效果。</x:t>
  </x:si>
  <x:si>
    <x:t xml:space="preserve">汕尾市城区某商贸行互联网食品广告案</x:t>
  </x:si>
  <x:si>
    <x:t xml:space="preserve">https://www.shanwei.gov.cn/swscjdglj/zwgk/0800/dxal/content/post_1074414.html</x:t>
  </x:si>
  <x:si>
    <x:t xml:space="preserve">CLAIM035</x:t>
  </x:si>
  <x:si>
    <x:t xml:space="preserve">实测证明，这款家用美容仪能够显著提升皮肤紧致度。</x:t>
  </x:si>
  <x:si>
    <x:t xml:space="preserve">The claim suggests a significant improvement in skin firmness, which is a strong therapeutic promise that is likely to be considered a medical claim. This type of claim is often scrutinized and can be classified as a high risk due to potential consumer deception.</x:t>
  </x:si>
  <x:si>
    <x:t xml:space="preserve">部分支持：显著提升紧致度属于可验证的功效宣称，应有检测或试验依据；仅凭输入不能直接认定高风险。</x:t>
  </x:si>
  <x:si>
    <x:t xml:space="preserve">弱相关：来源案例是普通洗手液虚假宣称美白，能说明化妆品功效需真实依据，但与美容仪紧致功效并非同一产品或效果。</x:t>
  </x:si>
  <x:si>
    <x:t xml:space="preserve">不足：理由把紧致功效概括成治疗性承诺，未说明产品属性和证据缺口。</x:t>
  </x:si>
  <x:si>
    <x:t xml:space="preserve">过度升级且引用较弱</x:t>
  </x:si>
  <x:si>
    <x:t xml:space="preserve">输入与判断：部分支持：显著提升紧致度属于可验证的功效宣称，应有检测或试验依据；仅凭输入不能直接认定高风险。；引用：弱相关：来源案例是普通洗手液虚假宣称美白，能说明化妆品功效需真实依据，但与美容仪紧致功效并非同一产品或效果。；建议可执行性：无法核查：test_full.csv未保存next_action字段。；不确定性：不足：理由把紧致功效概括成治疗性承诺，未说明产品属性和证据缺口。；人工结论：当前证据更支持evidence_needed。</x:t>
  </x:si>
  <x:si>
    <x:t xml:space="preserve">房县某电子商务有限公司发布虚假化妆品广告案</x:t>
  </x:si>
  <x:si>
    <x:t xml:space="preserve">https://www.samr.gov.cn/ggjgs/sjdt/gzdt/art/2024/art_93bcd60c81fb4145b6698014ba162cbb.html</x:t>
  </x:si>
  <x:si>
    <x:t xml:space="preserve">CLAIM036</x:t>
  </x:si>
  <x:si>
    <x:t xml:space="preserve">这款普通膏体可以修复身体损伤并缓解相关疾病症状。</x:t>
  </x:si>
  <x:si>
    <x:t xml:space="preserve">The claim suggests that the ordinary ointment can repair bodily injuries and alleviate disease symptoms, which is a medical claim for a non-medical product. This aligns with previous enforcement cases where similar claims were made for ordinary products, leading to legal action.</x:t>
  </x:si>
  <x:si>
    <x:t xml:space="preserve">支持：普通膏体声称修复身体损伤、缓解疾病症状，属于明显的疾病治疗功能表达。</x:t>
  </x:si>
  <x:si>
    <x:t xml:space="preserve">直接相关：官方案例是普通膏体演绎疾病治疗和恢复活动能力，与当前普通膏体治疗性承诺高度一致。</x:t>
  </x:si>
  <x:si>
    <x:t xml:space="preserve">部分清楚：理由解释了普通产品使用医疗表述的风险，但仍应保留最终人工确认边界。</x:t>
  </x:si>
  <x:si>
    <x:t xml:space="preserve">输入与判断：支持：普通膏体声称修复身体损伤、缓解疾病症状，属于明显的疾病治疗功能表达。；引用：直接相关：官方案例是普通膏体演绎疾病治疗和恢复活动能力，与当前普通膏体治疗性承诺高度一致。；建议可执行性：无法核查：test_full.csv未保存next_action字段。；不确定性：部分清楚：理由解释了普通产品使用医疗表述的风险，但仍应保留最终人工确认边界。；人工结论：当前证据更支持high_risk。</x:t>
  </x:si>
  <x:si>
    <x:t xml:space="preserve">山东省青岛市市场监管局查处青岛科曼奇商贸有限公司发布非医疗、药品、医疗器械广告使用医药用语行为案</x:t>
  </x:si>
  <x:si>
    <x:t xml:space="preserve">https://www.samr.gov.cn/xw/zj/art/2025/art_aa3fc21f7586462593b51175ba385186.html</x:t>
  </x:si>
  <x:si>
    <x:t xml:space="preserve">CLAIM037</x:t>
  </x:si>
  <x:si>
    <x:t xml:space="preserve">这款产品可以全面改善身体机能，效果远超同类商品。</x:t>
  </x:si>
  <x:si>
    <x:t xml:space="preserve">The claim suggests comprehensive improvement of bodily functions, which is a strong health claim that is unsupported by evidence. Similar cases have been found where products made similar claims without scientific backing, leading to enforcement actions.</x:t>
  </x:si>
  <x:si>
    <x:t xml:space="preserve">部分支持：全面改善身体机能和远超同类的比较性功效需要证据，现有输入不足以直接认定高风险。</x:t>
  </x:si>
  <x:si>
    <x:t xml:space="preserve">部分相关：来源是普通食品虚假保健或改善功效案例，可支持需要证据，但与泛化的“全面改善身体机能”不完全相同。</x:t>
  </x:si>
  <x:si>
    <x:t xml:space="preserve">不足：理由称缺少科学依据，却没有说明应先要求产品和比较证据。</x:t>
  </x:si>
  <x:si>
    <x:t xml:space="preserve">过度升级：更适合要求证据</x:t>
  </x:si>
  <x:si>
    <x:t xml:space="preserve">输入与判断：部分支持：全面改善身体机能和远超同类的比较性功效需要证据，现有输入不足以直接认定高风险。；引用：部分相关：来源是普通食品虚假保健或改善功效案例，可支持需要证据，但与泛化的“全面改善身体机能”不完全相同。；建议可执行性：无法核查：test_full.csv未保存next_action字段。；不确定性：不足：理由称缺少科学依据，却没有说明应先要求产品和比较证据。；人工结论：当前证据更支持evidence_needed。</x:t>
  </x:si>
  <x:si>
    <x:t xml:space="preserve">CLAIM039</x:t>
  </x:si>
  <x:si>
    <x:t xml:space="preserve">本店销售的珍珠全部为天然珍珠，并附有真实权威证书。</x:t>
  </x:si>
  <x:si>
    <x:t xml:space="preserve">The claim states that all pearls sold are natural and come with authentic certification. However, there is evidence of a case where fake pearls were sold as real, along with forged certification. This raises significant concerns about the authenticity of the pearls being sold.</x:t>
  </x:si>
  <x:si>
    <x:t xml:space="preserve">部分支持：天然珍珠和权威证书属于商品真实性承诺，需要当前店铺的鉴定与证书核验。</x:t>
  </x:si>
  <x:si>
    <x:t xml:space="preserve">高度相关但非直接证明：官方案例确有仿珍珠冒充真珍珠并伪造证书；只能提示核验，不能证明本店也造假。</x:t>
  </x:si>
  <x:si>
    <x:t xml:space="preserve">不足：理由由旧案例推到当前商品真实性担忧，未充分强调不能跨商家直接证明。</x:t>
  </x:si>
  <x:si>
    <x:t xml:space="preserve">过度升级：类比风险不等于当前事实</x:t>
  </x:si>
  <x:si>
    <x:t xml:space="preserve">输入与判断：部分支持：天然珍珠和权威证书属于商品真实性承诺，需要当前店铺的鉴定与证书核验。；引用：高度相关但非直接证明：官方案例确有仿珍珠冒充真珍珠并伪造证书；只能提示核验，不能证明本店也造假。；建议可执行性：无法核查：test_full.csv未保存next_action字段。；不确定性：不足：理由由旧案例推到当前商品真实性担忧，未充分强调不能跨商家直接证明。；人工结论：当前证据更支持evidence_needed。</x:t>
  </x:si>
  <x:si>
    <x:t xml:space="preserve">浙江省诸暨市市场监管局查处阮某某直播销售以假充真珍珠案</x:t>
  </x:si>
  <x:si>
    <x:t xml:space="preserve">CLAIM040</x:t>
  </x:si>
  <x:si>
    <x:t xml:space="preserve">直播间里的和田玉全部来自主播展示的矿区，来源绝对可靠。</x:t>
  </x:si>
  <x:si>
    <x:t xml:space="preserve">insufficient_evidence</x:t>
  </x:si>
  <x:si>
    <x:t xml:space="preserve">是</x:t>
  </x:si>
  <x:si>
    <x:t xml:space="preserve">The retrieved evidence is below the provisional similarity threshold.</x:t>
  </x:si>
  <x:si>
    <x:t xml:space="preserve">支持转人工：矿区来源及“绝对可靠”需要供应链和产地凭证，检索分数低时转人工合理。</x:t>
  </x:si>
  <x:si>
    <x:t xml:space="preserve">无引用：相似度0.2928低于0.30暂定阈值，系统未提供来源，引用真实性无法核查。</x:t>
  </x:si>
  <x:si>
    <x:t xml:space="preserve">清楚：系统明确因低于暂定阈值转人工；但未提示人工应核验的产地和供应链材料。</x:t>
  </x:si>
  <x:si>
    <x:t xml:space="preserve">转人工合理</x:t>
  </x:si>
  <x:si>
    <x:t xml:space="preserve">输入与判断：支持转人工：矿区来源及“绝对可靠”需要供应链和产地凭证，检索分数低时转人工合理。；引用：无引用：相似度0.2928低于0.30暂定阈值，系统未提供来源，引用真实性无法核查。；建议可执行性：无法核查：test_full.csv未保存next_action字段。；不确定性：清楚：系统明确因低于暂定阈值转人工；但未提示人工应核验的产地和供应链材料。；人工结论：当前证据更支持evidence_needed。</x:t>
  </x:si>
  <x:si>
    <x:t xml:space="preserve">CLAIM042</x:t>
  </x:si>
  <x:si>
    <x:t xml:space="preserve">权威研究和真实用户反馈证明，蜂王浆具有抗肿瘤等药理作用。</x:t>
  </x:si>
  <x:si>
    <x:t xml:space="preserve">The claim suggests that royal jelly has anti-tumor properties, which is a medical claim that is prohibited for ordinary products. Similar cases have shown that such claims can lead to enforcement actions due to their misleading nature.</x:t>
  </x:si>
  <x:si>
    <x:t xml:space="preserve">支持：普通蜂产品宣称抗肿瘤药理作用，属于明显的疾病治疗或药理功效表达。</x:t>
  </x:si>
  <x:si>
    <x:t xml:space="preserve">直接相关：官方案例明确指出蜂王浆“药理作用”、用户反馈、研究机构等内容不真实或违法，与输入高度一致。</x:t>
  </x:si>
  <x:si>
    <x:t xml:space="preserve">部分清楚：理由指出普通产品医疗宣称风险，但仍需人工核对具体产品属性和宣传语境。</x:t>
  </x:si>
  <x:si>
    <x:t xml:space="preserve">输入与判断：支持：普通蜂产品宣称抗肿瘤药理作用，属于明显的疾病治疗或药理功效表达。；引用：直接相关：官方案例明确指出蜂王浆“药理作用”、用户反馈、研究机构等内容不真实或违法，与输入高度一致。；建议可执行性：无法核查：test_full.csv未保存next_action字段。；不确定性：部分清楚：理由指出普通产品医疗宣称风险，但仍需人工核对具体产品属性和宣传语境。；人工结论：当前证据更支持high_risk。</x:t>
  </x:si>
  <x:si>
    <x:t xml:space="preserve">杭州千岛湖春鑫蜂业有限公司广告违法案件</x:t>
  </x:si>
  <x:si>
    <x:t xml:space="preserve">https://www.samr.gov.cn/xw/zj/art/2024/art_a68c3d6b97c24ec89fbb52182b9a24b8.html</x:t>
  </x:si>
  <x:si>
    <x:t xml:space="preserve">CLAIM044</x:t>
  </x:si>
  <x:si>
    <x:t xml:space="preserve">每天饮用这款骆驼奶粉，就能有效控制血糖和三高问题。</x:t>
  </x:si>
  <x:si>
    <x:t xml:space="preserve">The claim suggests that the product can control blood sugar and manage health issues related to 'three highs', which is a disease prevention or treatment claim. This is similar to a previous enforcement case where camel milk was advertised with similar health benefits, leading to legal action for making unapproved health claims.</x:t>
  </x:si>
  <x:si>
    <x:t xml:space="preserve">支持：普通食品声称控制血糖和三高，属于疾病预防治疗功能表达。</x:t>
  </x:si>
  <x:si>
    <x:t xml:space="preserve">直接相关：官方案例明确涉及骆驼奶粉“降血糖”“调理三高”，与输入几乎同类。</x:t>
  </x:si>
  <x:si>
    <x:t xml:space="preserve">部分清楚：理由说明疾病治疗风险，但最终发布判断仍需人工确认产品属性和完整语境。</x:t>
  </x:si>
  <x:si>
    <x:t xml:space="preserve">输入与判断：支持：普通食品声称控制血糖和三高，属于疾病预防治疗功能表达。；引用：直接相关：官方案例明确涉及骆驼奶粉“降血糖”“调理三高”，与输入几乎同类。；建议可执行性：无法核查：test_full.csv未保存next_action字段。；不确定性：部分清楚：理由说明疾病治疗风险，但最终发布判断仍需人工确认产品属性和完整语境。；人工结论：当前证据更支持high_risk。</x:t>
  </x:si>
  <x:si>
    <x:t xml:space="preserve">云南兴浩商贸有限公司广告违法案件</x:t>
  </x:si>
  <x:si>
    <x:t xml:space="preserve">CLAIM076</x:t>
  </x:si>
  <x:si>
    <x:t xml:space="preserve">这款笔记本可选横线页或空白页。</x:t>
  </x:si>
  <x:si>
    <x:t xml:space="preserve">synthetic</x:t>
  </x:si>
  <x:si>
    <x:t xml:space="preserve">low_risk</x:t>
  </x:si>
  <x:si>
    <x:t xml:space="preserve">无引用：系统因低于阈值转人工，未生成来源；低风险判断仅基于输入内容，不等于法律批准。</x:t>
  </x:si>
  <x:si>
    <x:t xml:space="preserve">清楚：系统说明低于阈值并转人工，但没有区分普通商品规格信息。</x:t>
  </x:si>
  <x:si>
    <x:t xml:space="preserve">CLAIM077</x:t>
  </x:si>
  <x:si>
    <x:t xml:space="preserve">这款蓝牙音箱全年累计销量突破100万台。</x:t>
  </x:si>
  <x:si>
    <x:t xml:space="preserve">支持转人工：全年销量突破100万台是可核验事实，需要平台、订单或销售记录。</x:t>
  </x:si>
  <x:si>
    <x:t xml:space="preserve">无引用：系统因低于阈值转人工，未生成来源；销量真实性需另行查证。</x:t>
  </x:si>
  <x:si>
    <x:t xml:space="preserve">清楚：系统没有在证据不足时强行判断，但没有提示需要哪些销量凭证。</x:t>
  </x:si>
  <x:si>
    <x:t xml:space="preserve">输入与判断：支持转人工：全年销量突破100万台是可核验事实，需要平台、订单或销售记录。；引用：无引用：系统因低于阈值转人工，未生成来源；销量真实性需另行查证。；建议可执行性：无法核查：test_full.csv未保存next_action字段。；不确定性：清楚：系统没有在证据不足时强行判断，但没有提示需要哪些销量凭证。；人工结论：当前证据更支持evidence_needed。</x:t>
  </x:si>
  <x:si>
    <x:t xml:space="preserve">CLAIM078</x:t>
  </x:si>
  <x:si>
    <x:t xml:space="preserve">这款普通乳饮料可以治疗贫血。</x:t>
  </x:si>
  <x:si>
    <x:t xml:space="preserve">The claim suggests that a regular dairy drink can treat a medical condition (anemia), which is a strong cure promise and is prohibited. Similar cases have established that such claims are illegal.</x:t>
  </x:si>
  <x:si>
    <x:t xml:space="preserve">支持：普通乳饮料声称治疗贫血，是明确的疾病治疗承诺。</x:t>
  </x:si>
  <x:si>
    <x:t xml:space="preserve">部分相关：引用案例涉及普通食品宣称调节三高等疾病功能，支持普通食品不得宣称治疗疾病的风险；并非贫血或乳饮料同案。</x:t>
  </x:si>
  <x:si>
    <x:t xml:space="preserve">部分清楚：理由说明普通食品治疗疾病的风险，但“类似案例证明违法”的表述容易被理解为对当前商品的确定结论。</x:t>
  </x:si>
  <x:si>
    <x:t xml:space="preserve">判断一致，引用提供类别层面支持</x:t>
  </x:si>
  <x:si>
    <x:t xml:space="preserve">输入与判断：支持：普通乳饮料声称治疗贫血，是明确的疾病治疗承诺。；引用：部分相关：引用案例涉及普通食品宣称调节三高等疾病功能，支持普通食品不得宣称治疗疾病的风险；并非贫血或乳饮料同案。；建议可执行性：无法核查：test_full.csv未保存next_action字段。；不确定性：部分清楚：理由说明普通食品治疗疾病的风险，但“类似案例证明违法”的表述容易被理解为对当前商品的确定结论。；人工结论：当前证据更支持high_risk。</x:t>
  </x:si>
  <x:si>
    <x:t xml:space="preserve">海南恒昇医疗管理有限公司澄迈恒昇医院违法广告案</x:t>
  </x:si>
  <x:si>
    <x:t xml:space="preserve">https://www.samr.gov.cn/xw/zj/art/2024/art_040ee3ac2e924c1e9735c6f47fb734d9.html</x:t>
  </x:si>
  <x:si>
    <x:t xml:space="preserve">CLAIM079</x:t>
  </x:si>
  <x:si>
    <x:t xml:space="preserve">这款雨伞有黄色和黑色两种颜色。</x:t>
  </x:si>
  <x:si>
    <x:t xml:space="preserve">The claim simply states the available colors of the umbrella, which does not raise any configured concerns or legal issues. This is not legal approval, but the claim appears to be straightforward and factual.</x:t>
  </x:si>
  <x:si>
    <x:t xml:space="preserve">支持：仅描述雨伞颜色选项，未触发已配置风险；仍需确保商品页面与实物一致。</x:t>
  </x:si>
  <x:si>
    <x:t xml:space="preserve">无引用：低风险输出未附来源；颜色描述可直接核验，但低风险不等于法律批准。</x:t>
  </x:si>
  <x:si>
    <x:t xml:space="preserve">较清楚：模型说明不触发配置风险且不是法律批准。</x:t>
  </x:si>
  <x:si>
    <x:t xml:space="preserve">判断一致，无引用可以接受</x:t>
  </x:si>
  <x:si>
    <x:t xml:space="preserve">输入与判断：支持：仅描述雨伞颜色选项，未触发已配置风险；仍需确保商品页面与实物一致。；引用：无引用：低风险输出未附来源；颜色描述可直接核验，但低风险不等于法律批准。；建议可执行性：无法核查：test_full.csv未保存next_action字段。；不确定性：较清楚：模型说明不触发配置风险且不是法律批准。；人工结论：当前证据更支持low_risk。</x:t>
  </x:si>
  <x:si>
    <x:t xml:space="preserve">CLAIM080</x:t>
  </x:si>
  <x:si>
    <x:t xml:space="preserve">这件防晒衣的防紫外线系数达到UPF50+。</x:t>
  </x:si>
  <x:si>
    <x:t xml:space="preserve">支持转人工：UPF50+是可验证的产品性能指标，需要检测报告、执行标准和适用条件。</x:t>
  </x:si>
  <x:si>
    <x:t xml:space="preserve">无引用：系统因低于阈值转人工，未生成来源；性能真实性需检测材料支持。</x:t>
  </x:si>
  <x:si>
    <x:t xml:space="preserve">清楚：系统说明低于阈值并转人工，但没有指出应核验测试标准和条件。</x:t>
  </x:si>
  <x:si>
    <x:t xml:space="preserve">输入与判断：支持转人工：UPF50+是可验证的产品性能指标，需要检测报告、执行标准和适用条件。；引用：无引用：系统因低于阈值转人工，未生成来源；性能真实性需检测材料支持。；建议可执行性：无法核查：test_full.csv未保存next_action字段。；不确定性：清楚：系统说明低于阈值并转人工，但没有指出应核验测试标准和条件。；人工结论：当前证据更支持evidence_needed。</x:t>
  </x:si>
  <x:si>
    <x:t xml:space="preserve">CLAIM081</x:t>
  </x:si>
  <x:si>
    <x:t xml:space="preserve">这款普通口香糖能够治愈牙周炎。</x:t>
  </x:si>
  <x:si>
    <x:t xml:space="preserve">The claim suggests that a common chewing gum can cure periodontal disease, which is a strong health claim that is unsupported by evidence. Similar cases have shown that such health-related claims are considered illegal and misleading.</x:t>
  </x:si>
  <x:si>
    <x:t xml:space="preserve">支持：普通口香糖声称治愈牙周炎，属于明确的疾病治疗承诺。</x:t>
  </x:si>
  <x:si>
    <x:t xml:space="preserve">部分相关：来源案例涉及普通食品虚假保健功效，支持普通食品疾病治疗风险；不是口香糖或牙周炎同案。</x:t>
  </x:si>
  <x:si>
    <x:t xml:space="preserve">部分清楚：理由说明治愈疾病风险，但应明确引用只支持类别层面的判断。</x:t>
  </x:si>
  <x:si>
    <x:t xml:space="preserve">判断一致，引用部分支持</x:t>
  </x:si>
  <x:si>
    <x:t xml:space="preserve">输入与判断：支持：普通口香糖声称治愈牙周炎，属于明确的疾病治疗承诺。；引用：部分相关：来源案例涉及普通食品虚假保健功效，支持普通食品疾病治疗风险；不是口香糖或牙周炎同案。；建议可执行性：无法核查：test_full.csv未保存next_action字段。；不确定性：部分清楚：理由说明治愈疾病风险，但应明确引用只支持类别层面的判断。；人工结论：当前证据更支持high_risk。</x:t>
  </x:si>
  <x:si>
    <x:t xml:space="preserve">CLAIM084</x:t>
  </x:si>
  <x:si>
    <x:t xml:space="preserve">穿上这款普通袜子就能百分之百预防静脉曲张。</x:t>
  </x:si>
  <x:si>
    <x:t xml:space="preserve">无引用：系统因低于阈值转人工，未生成来源；人工结论来自输入中的疾病预防和绝对保证表达。</x:t>
  </x:si>
  <x:si>
    <x:t xml:space="preserve">清楚说明了转人工原因，但没有指出输入本身已含强疾病预防信号。</x:t>
  </x:si>
  <x:si>
    <x:t xml:space="preserve">CLAIM086</x:t>
  </x:si>
  <x:si>
    <x:t xml:space="preserve">这款空气净化器能去除99.9%的室内微尘。</x:t>
  </x:si>
  <x:si>
    <x:t xml:space="preserve">支持转人工：99.9%去除室内微尘是量化性能承诺，需要明确测试条件和检测报告。</x:t>
  </x:si>
  <x:si>
    <x:t xml:space="preserve">无引用：系统因低于阈值转人工，未生成来源；量化效果需产品检测材料支持。</x:t>
  </x:si>
  <x:si>
    <x:t xml:space="preserve">清楚：系统没有在证据不足时强行判断，但未提示检测环境、颗粒范围等关键条件。</x:t>
  </x:si>
  <x:si>
    <x:t xml:space="preserve">输入与判断：支持转人工：99.9%去除室内微尘是量化性能承诺，需要明确测试条件和检测报告。；引用：无引用：系统因低于阈值转人工，未生成来源；量化效果需产品检测材料支持。；建议可执行性：无法核查：test_full.csv未保存next_action字段。；不确定性：清楚：系统没有在证据不足时强行判断，但未提示检测环境、颗粒范围等关键条件。；人工结论：当前证据更支持evidence_needed。</x:t>
  </x:si>
  <x:si>
    <x:t xml:space="preserve">CLAIM089</x:t>
  </x:si>
  <x:si>
    <x:t xml:space="preserve">这款水壶获得了国际设计奖。</x:t>
  </x:si>
  <x:si>
    <x:t xml:space="preserve">支持转人工：获得国际设计奖是可核验事实，需要奖项名称、主办方和获奖证明。</x:t>
  </x:si>
  <x:si>
    <x:t xml:space="preserve">无引用：系统因低于阈值转人工，未生成来源；获奖真实性需外部材料核验。</x:t>
  </x:si>
  <x:si>
    <x:t xml:space="preserve">清楚：系统说明证据不足并转人工，但未提示具体奖项核验路径。</x:t>
  </x:si>
  <x:si>
    <x:t xml:space="preserve">输入与判断：支持转人工：获得国际设计奖是可核验事实，需要奖项名称、主办方和获奖证明。；引用：无引用：系统因低于阈值转人工，未生成来源；获奖真实性需外部材料核验。；建议可执行性：无法核查：test_full.csv未保存next_action字段。；不确定性：清楚：系统说明证据不足并转人工，但未提示具体奖项核验路径。；人工结论：当前证据更支持evidence_needed。</x:t>
  </x:si>
  <x:si>
    <x:t xml:space="preserve">CLAIM090</x:t>
  </x:si>
  <x:si>
    <x:t xml:space="preserve">这款家用靠垫保证治愈腰椎间盘突出。</x:t>
  </x:si>
  <x:si>
    <x:t xml:space="preserve">无引用：系统因低于阈值转人工，未生成来源；人工结论来自输入中的治愈保证。</x:t>
  </x:si>
  <x:si>
    <x:t xml:space="preserve">清楚说明了转人工原因，但没有指出输入本身已含强治愈信号。</x:t>
  </x:si>
  <x:si>
    <x:t xml:space="preserve">使用说明</x:t>
  </x:si>
  <x:si>
    <x:t xml:space="preserve">用途</x:t>
  </x:si>
  <x:si>
    <x:t xml:space="preserve">用于老师要求的20条人工复核记录。它是初筛质量检查，不是法律意见。</x:t>
  </x:si>
  <x:si>
    <x:t xml:space="preserve">样本</x:t>
  </x:si>
  <x:si>
    <x:t xml:space="preserve">锁定测试集中的10条case_derived与10条synthetic；不包含开发集CLAIM072。</x:t>
  </x:si>
  <x:si>
    <x:t xml:space="preserve">标签边界</x:t>
  </x:si>
  <x:si>
    <x:t xml:space="preserve">参考标签由项目人工编写，不是监管机关的官方标签；insufficient_evidence是系统转人工输出。</x:t>
  </x:si>
  <x:si>
    <x:t xml:space="preserve">引用核对</x:t>
  </x:si>
  <x:si>
    <x:t xml:space="preserve">有引用的记录已对照对应政府页面；“部分支持”表示只能支持类别或类比风险，不能证明当前商家事实。</x:t>
  </x:si>
  <x:si>
    <x:t xml:space="preserve">建议检查</x:t>
  </x:si>
  <x:si>
    <x:t xml:space="preserve">test_full.csv没有保存next_action，因此20条均只能如实标记为无法核查，不能补造建议。</x:t>
  </x:si>
  <x:si>
    <x:t xml:space="preserve">当前状态</x:t>
  </x:si>
  <x:si>
    <x:t xml:space="preserve">禁止修改</x:t>
  </x:si>
  <x:si>
    <x:t xml:space="preserve">不要修改参考标签、系统输出、锁定测试集或已有results文件来改善结果。</x:t>
  </x:si>
  <x:si>
    <x:t xml:space="preserve">低风险说明</x:t>
  </x:si>
  <x:si>
    <x:t xml:space="preserve">low_risk仅表示未触发当前配置的风险，不等于法律批准；正式发布仍需人工确认。</x:t>
  </x:si>
</x:sst>
</file>

<file path=xl/styles.xml><?xml version="1.0" encoding="utf-8"?>
<x:styleSheet xmlns:x="http://schemas.openxmlformats.org/spreadsheetml/2006/main">
  <x:numFmts count="1">
    <x:numFmt numFmtId="176" formatCode="0.0000"/>
  </x:numFmts>
  <x:fonts count="9">
    <x:font>
      <x:sz val="11"/>
      <x:name val="Carlito"/>
    </x:font>
    <x:font>
      <x:b/>
      <x:sz val="15"/>
      <x:color rgb="FF1F1F1F"/>
      <x:name val="Arial"/>
    </x:font>
    <x:font>
      <x:b/>
      <x:sz val="10"/>
      <x:color rgb="FF222222"/>
      <x:name val="Arial"/>
    </x:font>
    <x:font>
      <x:sz val="10"/>
      <x:color rgb="FF222222"/>
      <x:name val="Arial"/>
    </x:font>
    <x:font>
      <x:i/>
      <x:sz val="10"/>
      <x:color rgb="FF222222"/>
      <x:name val="Arial"/>
    </x:font>
    <x:font>
      <x:b/>
      <x:sz val="10"/>
      <x:color rgb="FFFFFFFF"/>
      <x:name val="Arial"/>
    </x:font>
    <x:font>
      <x:sz val="11"/>
      <x:name val="Carlito"/>
    </x:font>
    <x:font>
      <x:sz val="9"/>
      <x:name val="宋体"/>
    </x:font>
    <x:font>
      <x:sz val="10"/>
      <x:color rgb="FF222222"/>
      <x:name val="微软雅黑"/>
    </x:font>
  </x:fonts>
  <x:fills count="5">
    <x:fill>
      <x:patternFill patternType="none"/>
    </x:fill>
    <x:fill>
      <x:patternFill patternType="gray125"/>
    </x:fill>
    <x:fill>
      <x:patternFill patternType="solid">
        <x:fgColor rgb="FFEAF2F8"/>
      </x:patternFill>
    </x:fill>
    <x:fill>
      <x:patternFill patternType="solid">
        <x:fgColor rgb="FF1F4E78"/>
      </x:patternFill>
    </x:fill>
    <x:fill>
      <x:patternFill patternType="solid">
        <x:fgColor rgb="FFD9EAF7"/>
      </x:patternFill>
    </x:fill>
  </x:fills>
  <x:borders count="10">
    <x:border/>
    <x:border>
      <x:left style="thin">
        <x:color rgb="FFAAB7B8"/>
      </x:left>
      <x:top style="thin">
        <x:color rgb="FFAAB7B8"/>
      </x:top>
      <x:bottom style="thin">
        <x:color rgb="FFAAB7B8"/>
      </x:bottom>
    </x:border>
    <x:border>
      <x:top style="thin">
        <x:color rgb="FFAAB7B8"/>
      </x:top>
      <x:bottom style="thin">
        <x:color rgb="FFAAB7B8"/>
      </x:bottom>
    </x:border>
    <x:border>
      <x:right style="thin">
        <x:color rgb="FFAAB7B8"/>
      </x:right>
      <x:top style="thin">
        <x:color rgb="FFAAB7B8"/>
      </x:top>
      <x:bottom style="thin">
        <x:color rgb="FFAAB7B8"/>
      </x:bottom>
    </x:border>
    <x:border>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top style="thin">
        <x:color rgb="FFD9D9D9"/>
      </x:top>
    </x:border>
  </x:borders>
  <x:cellStyleXfs count="2">
    <x:xf numFmtId="0" fontId="0" fillId="0" borderId="0"/>
    <x:xf numFmtId="0" fontId="6" fillId="0" borderId="0"/>
  </x:cellStyleXfs>
  <x:cellXfs count="22">
    <x:xf numFmtId="0" fontId="0" fillId="0" borderId="0" xfId="0"/>
    <x:xf numFmtId="0" fontId="1" fillId="0" borderId="0" xfId="1" applyFont="1"/>
    <x:xf numFmtId="0" fontId="3" fillId="0" borderId="0" xfId="1" applyFont="1"/>
    <x:xf numFmtId="0" fontId="4" fillId="0" borderId="0" xfId="1" applyFont="1"/>
    <x:xf numFmtId="0" fontId="2" fillId="2" borderId="1" xfId="1" applyFont="1" applyFill="1" applyBorder="1"/>
    <x:xf numFmtId="0" fontId="2" fillId="2" borderId="2" xfId="1" applyFont="1" applyFill="1" applyBorder="1"/>
    <x:xf numFmtId="0" fontId="2" fillId="2" borderId="3" xfId="1" applyFont="1" applyFill="1" applyBorder="1"/>
    <x:xf numFmtId="0" fontId="5" fillId="3" borderId="0" xfId="1" applyFont="1" applyFill="1" applyAlignment="1">
      <x:alignment horizontal="center" vertical="center" wrapText="1"/>
    </x:xf>
    <x:xf numFmtId="0" fontId="3" fillId="0" borderId="0" xfId="1" applyFont="1" applyAlignment="1">
      <x:alignment vertical="top" wrapText="1"/>
    </x:xf>
    <x:xf numFmtId="0" fontId="3" fillId="0" borderId="0" xfId="1" applyFont="1" applyAlignment="1">
      <x:alignment horizontal="center" vertical="top"/>
    </x:xf>
    <x:xf numFmtId="0" fontId="3" fillId="0" borderId="0" xfId="1" applyFont="1" applyAlignment="1">
      <x:alignment horizontal="center" vertical="top" wrapText="1"/>
    </x:xf>
    <x:xf numFmtId="176" fontId="3" fillId="0" borderId="0" xfId="1" applyNumberFormat="1" applyFont="1" applyAlignment="1">
      <x:alignment horizontal="center" vertical="top"/>
    </x:xf>
    <x:xf numFmtId="0" fontId="3" fillId="0" borderId="5" xfId="1" applyFont="1" applyBorder="1" applyAlignment="1">
      <x:alignment vertical="top" wrapText="1"/>
    </x:xf>
    <x:xf numFmtId="0" fontId="3" fillId="0" borderId="7" xfId="1" applyFont="1" applyBorder="1" applyAlignment="1">
      <x:alignment vertical="top" wrapText="1"/>
    </x:xf>
    <x:xf numFmtId="0" fontId="3" fillId="0" borderId="9" xfId="1" applyFont="1" applyBorder="1" applyAlignment="1">
      <x:alignment vertical="top" wrapText="1"/>
    </x:xf>
    <x:xf numFmtId="0" fontId="2" fillId="4" borderId="4" xfId="1" applyFont="1" applyFill="1" applyBorder="1" applyAlignment="1">
      <x:alignment vertical="top"/>
    </x:xf>
    <x:xf numFmtId="0" fontId="2" fillId="4" borderId="6" xfId="1" applyFont="1" applyFill="1" applyBorder="1" applyAlignment="1">
      <x:alignment vertical="top"/>
    </x:xf>
    <x:xf numFmtId="0" fontId="2" fillId="4" borderId="8" xfId="1" applyFont="1" applyFill="1" applyBorder="1" applyAlignment="1">
      <x:alignment vertical="top"/>
    </x:xf>
    <x:xf numFmtId="0" fontId="8" fillId="0" borderId="0" xfId="1" applyFont="1" applyAlignment="1">
      <x:alignment horizontal="center"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cellXfs>
  <x:cellStyles count="2">
    <x:cellStyle name="Normal" xfId="1"/>
    <x:cellStyle name="常规" xfId="0"/>
  </x:cellStyles>
  <x:dxfs count="3">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16a69006154fab" /><Relationship Type="http://schemas.openxmlformats.org/officeDocument/2006/relationships/theme" Target="/xl/theme/theme1.xml" Id="Rdfbff8fcafc2428d" /><Relationship Type="http://schemas.openxmlformats.org/officeDocument/2006/relationships/sharedStrings" Target="/xl/sharedStrings.xml" Id="Rfbb89bc8073848ed" /><Relationship Type="http://schemas.openxmlformats.org/officeDocument/2006/relationships/worksheet" Target="/xl/worksheets/sheet1.xml" Id="R539c21922ea6490f" /><Relationship Type="http://schemas.openxmlformats.org/officeDocument/2006/relationships/worksheet" Target="/xl/worksheets/sheet2.xml" Id="R5e54bd72fab342da" /></Relationships>
</file>

<file path=xl/tables/table1.xml><?xml version="1.0" encoding="utf-8"?>
<x:table xmlns:x="http://schemas.openxmlformats.org/spreadsheetml/2006/main" id="1" name="ManualReview20" displayName="ManualReview20" ref="A6:S26" totalsRowShown="0">
  <x:autoFilter ref="A6:S26"/>
  <x:tableColumns count="19">
    <x:tableColumn id="1" name="序号"/>
    <x:tableColumn id="2" name="claim_id"/>
    <x:tableColumn id="3" name="中文文案"/>
    <x:tableColumn id="4" name="样本类型"/>
    <x:tableColumn id="5" name="参考标签"/>
    <x:tableColumn id="6" name="系统输出"/>
    <x:tableColumn id="7" name="转人工"/>
    <x:tableColumn id="8" name="相似度"/>
    <x:tableColumn id="9" name="模型理由"/>
    <x:tableColumn id="10" name="输入与判断支持"/>
    <x:tableColumn id="11" name="引用支持"/>
    <x:tableColumn id="12" name="建议可执行性"/>
    <x:tableColumn id="13" name="不确定性表达"/>
    <x:tableColumn id="14" name="建议人工标签"/>
    <x:tableColumn id="15" name="系统评价"/>
    <x:tableColumn id="16" name="复核状态"/>
    <x:tableColumn id="17" name="复核说明"/>
    <x:tableColumn id="18" name="引用标题"/>
    <x:tableColumn id="19" name="引用链接"/>
  </x:tableColumns>
  <x:tableStyleInfo name="TableStyleMedium2" showFirstColumn="0" showLastColumn="0" showRowStripes="1" showColumnStripes="0"/>
</x:table>
</file>

<file path=xl/theme/theme1.xml><?xml version="1.0" encoding="utf-8"?>
<a:theme xmlns:a="http://schemas.openxmlformats.org/drawingml/2006/main" name="ClaimTrace">
  <a:themeElements>
    <a:clrScheme name="ClaimTra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laimTra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20956d4a224274" /></Relationships>
</file>

<file path=xl/worksheets/sheet1.xml><?xml version="1.0" encoding="utf-8"?>
<x:worksheet xmlns:x="http://schemas.openxmlformats.org/spreadsheetml/2006/main">
  <x:sheetPr>
    <x:tabColor rgb="FF1F4E78"/>
  </x:sheetPr>
  <x:sheetViews>
    <x:sheetView showGridLines="0" workbookViewId="0">
      <x:pane xSplit="2" ySplit="6" topLeftCell="C7" activePane="bottomRight" state="frozen"/>
    </x:sheetView>
  </x:sheetViews>
  <x:sheetFormatPr defaultRowHeight="13.5"/>
  <x:cols>
    <x:col min="1" max="1" width="6" customWidth="1"/>
    <x:col min="2" max="2" width="12" customWidth="1"/>
    <x:col min="3" max="3" width="34" customWidth="1"/>
    <x:col min="4" max="4" width="14" customWidth="1"/>
    <x:col min="5" max="5" width="18" customWidth="1"/>
    <x:col min="6" max="6" width="20" customWidth="1"/>
    <x:col min="7" max="8" width="10" customWidth="1"/>
    <x:col min="9" max="9" width="44" customWidth="1"/>
    <x:col min="10" max="10" width="42" customWidth="1"/>
    <x:col min="11" max="11" width="48" customWidth="1"/>
    <x:col min="12" max="12" width="38" customWidth="1"/>
    <x:col min="13" max="13" width="42" customWidth="1"/>
    <x:col min="14" max="14" width="18" customWidth="1"/>
    <x:col min="15" max="15" width="30" customWidth="1"/>
    <x:col min="16" max="16" width="12" customWidth="1"/>
    <x:col min="17" max="17" width="72" customWidth="1"/>
    <x:col min="18" max="18" width="42" customWidth="1"/>
    <x:col min="19" max="19" width="48" customWidth="1"/>
    <x:col min="20" max="20" width="18" hidden="0" customWidth="1"/>
    <x:col min="21" max="21" width="20" hidden="0" customWidth="1"/>
    <x:col min="22" max="22" width="18" hidden="0" customWidth="1"/>
    <x:col min="23" max="23" width="26" hidden="0" customWidth="1"/>
    <x:col min="24" max="24" width="18" hidden="0" customWidth="1"/>
    <x:col min="25" max="25" width="20" hidden="0" customWidth="1"/>
    <x:col min="26" max="26" width="16" hidden="0" customWidth="1"/>
  </x:cols>
  <x:sheetData>
    <x:row r="1" ht="18.75">
      <x:c r="A1" s="1" t="s">
        <x:v>0</x:v>
      </x:c>
      <x:c r="B1" s="2"/>
      <x:c r="C1" s="2"/>
      <x:c r="D1" s="2"/>
      <x:c r="E1" s="2"/>
      <x:c r="F1" s="2"/>
      <x:c r="G1" s="2"/>
      <x:c r="H1" s="2"/>
      <x:c r="I1" s="2"/>
      <x:c r="J1" s="2"/>
      <x:c r="K1" s="2"/>
      <x:c r="L1" s="2"/>
      <x:c r="M1" s="2"/>
      <x:c r="N1" s="2"/>
      <x:c r="O1" s="2"/>
      <x:c r="P1" s="2"/>
      <x:c r="Q1" s="2"/>
      <x:c r="R1" s="2"/>
      <x:c r="S1" s="2"/>
    </x:row>
    <x:row r="2">
      <x:c r="A2" s="3" t="str">
        <x:v>10条案例改写 + 10条合成新文案。20条均已完成人工复核和结构化编码；复核结论不等于法律批准，正式发布仍需人工确认。</x:v>
      </x:c>
      <x:c r="B2" s="2"/>
      <x:c r="C2" s="2"/>
      <x:c r="D2" s="2"/>
      <x:c r="E2" s="2"/>
      <x:c r="F2" s="2"/>
      <x:c r="G2" s="2"/>
      <x:c r="H2" s="2"/>
      <x:c r="I2" s="2"/>
      <x:c r="J2" s="2"/>
      <x:c r="K2" s="2"/>
      <x:c r="L2" s="2"/>
      <x:c r="M2" s="2"/>
      <x:c r="N2" s="2"/>
      <x:c r="O2" s="2"/>
      <x:c r="P2" s="2"/>
      <x:c r="Q2" s="2"/>
      <x:c r="R2" s="2"/>
      <x:c r="S2" s="2"/>
    </x:row>
    <x:row r="3">
      <x:c r="A3" s="2"/>
      <x:c r="B3" s="2"/>
      <x:c r="C3" s="2"/>
      <x:c r="D3" s="2"/>
      <x:c r="E3" s="2"/>
      <x:c r="F3" s="2"/>
      <x:c r="G3" s="2"/>
      <x:c r="H3" s="2"/>
      <x:c r="I3" s="2"/>
      <x:c r="J3" s="2"/>
      <x:c r="K3" s="2"/>
      <x:c r="L3" s="2"/>
      <x:c r="M3" s="2"/>
      <x:c r="N3" s="2"/>
      <x:c r="O3" s="2"/>
      <x:c r="P3" s="2"/>
      <x:c r="Q3" s="2"/>
      <x:c r="R3" s="2"/>
      <x:c r="S3" s="2"/>
    </x:row>
    <x:row r="4" ht="13.899999618530273">
      <x:c r="A4" s="4" t="s">
        <x:v>1</x:v>
      </x:c>
      <x:c r="B4" s="5">
        <x:v>20</x:v>
      </x:c>
      <x:c r="C4" s="5" t="s">
        <x:v>2</x:v>
      </x:c>
      <x:c r="D4" s="5">
        <x:v>10</x:v>
      </x:c>
      <x:c r="E4" s="5" t="s">
        <x:v>3</x:v>
      </x:c>
      <x:c r="F4" s="5">
        <x:v>10</x:v>
      </x:c>
      <x:c r="G4" s="5" t="s">
        <x:v>4</x:v>
      </x:c>
      <x:c r="H4" s="5" t="n">
        <x:f>COUNTIF(F7:F26,"insufficient_evidence")</x:f>
        <x:v>8</x:v>
      </x:c>
      <x:c r="I4" s="5" t="s">
        <x:v>5</x:v>
      </x:c>
      <x:c r="J4" s="5" t="n">
        <x:f>COUNTIF(Z7:Z26,"completed")</x:f>
        <x:v>20</x:v>
      </x:c>
      <x:c r="K4" s="5" t="s">
        <x:v>6</x:v>
      </x:c>
      <x:c r="L4" s="6" t="n">
        <x:f>COUNTIF(Z7:Z26,"pending")</x:f>
        <x:v>0</x:v>
      </x:c>
      <x:c r="M4" s="2"/>
      <x:c r="N4" s="2"/>
      <x:c r="O4" s="2"/>
      <x:c r="P4" s="2"/>
      <x:c r="Q4" s="2"/>
      <x:c r="R4" s="2"/>
      <x:c r="S4" s="2"/>
    </x:row>
    <x:row r="5">
      <x:c r="A5" s="2"/>
      <x:c r="B5" s="2"/>
      <x:c r="C5" s="2"/>
      <x:c r="D5" s="2"/>
      <x:c r="E5" s="2"/>
      <x:c r="F5" s="2"/>
      <x:c r="G5" s="2"/>
      <x:c r="H5" s="2"/>
      <x:c r="I5" s="2"/>
      <x:c r="J5" s="2"/>
      <x:c r="K5" s="2"/>
      <x:c r="L5" s="2"/>
      <x:c r="M5" s="2"/>
      <x:c r="N5" s="2"/>
      <x:c r="O5" s="2"/>
      <x:c r="P5" s="2"/>
      <x:c r="Q5" s="2"/>
      <x:c r="R5" s="2"/>
      <x:c r="S5" s="2"/>
    </x:row>
    <x:row r="6" ht="36" customHeight="1">
      <x:c r="A6" s="7" t="s">
        <x:v>7</x:v>
      </x:c>
      <x:c r="B6" s="7" t="s">
        <x:v>8</x:v>
      </x:c>
      <x:c r="C6" s="7" t="s">
        <x:v>9</x:v>
      </x:c>
      <x:c r="D6" s="7" t="s">
        <x:v>10</x:v>
      </x:c>
      <x:c r="E6" s="7" t="s">
        <x:v>11</x:v>
      </x:c>
      <x:c r="F6" s="7" t="s">
        <x:v>12</x:v>
      </x:c>
      <x:c r="G6" s="7" t="s">
        <x:v>13</x:v>
      </x:c>
      <x:c r="H6" s="7" t="s">
        <x:v>14</x:v>
      </x:c>
      <x:c r="I6" s="7" t="s">
        <x:v>15</x:v>
      </x:c>
      <x:c r="J6" s="7" t="s">
        <x:v>16</x:v>
      </x:c>
      <x:c r="K6" s="7" t="s">
        <x:v>17</x:v>
      </x:c>
      <x:c r="L6" s="7" t="s">
        <x:v>18</x:v>
      </x:c>
      <x:c r="M6" s="7" t="s">
        <x:v>19</x:v>
      </x:c>
      <x:c r="N6" s="7" t="s">
        <x:v>20</x:v>
      </x:c>
      <x:c r="O6" s="7" t="s">
        <x:v>21</x:v>
      </x:c>
      <x:c r="P6" s="7" t="s">
        <x:v>22</x:v>
      </x:c>
      <x:c r="Q6" s="7" t="s">
        <x:v>23</x:v>
      </x:c>
      <x:c r="R6" s="7" t="s">
        <x:v>24</x:v>
      </x:c>
      <x:c r="S6" s="7" t="s">
        <x:v>25</x:v>
      </x:c>
      <x:c r="T6" s="19" t="str">
        <x:v>citation_present</x:v>
      </x:c>
      <x:c r="U6" s="19" t="str">
        <x:v>citation_supported</x:v>
      </x:c>
      <x:c r="V6" s="19" t="str">
        <x:v>reason_supported</x:v>
      </x:c>
      <x:c r="W6" s="19" t="str">
        <x:v>recommendation_actionable</x:v>
      </x:c>
      <x:c r="X6" s="19" t="str">
        <x:v>uncertainty_clear</x:v>
      </x:c>
      <x:c r="Y6" s="19" t="str">
        <x:v>human_final_label</x:v>
      </x:c>
      <x:c r="Z6" s="19" t="str">
        <x:v>review_status</x:v>
      </x:c>
    </x:row>
    <x:row r="7" ht="78" customHeight="1">
      <x:c r="A7" s="9">
        <x:v>1</x:v>
      </x:c>
      <x:c r="B7" s="9" t="s">
        <x:v>26</x:v>
      </x:c>
      <x:c r="C7" s="8" t="s">
        <x:v>27</x:v>
      </x:c>
      <x:c r="D7" s="9" t="s">
        <x:v>28</x:v>
      </x:c>
      <x:c r="E7" s="9" t="s">
        <x:v>29</x:v>
      </x:c>
      <x:c r="F7" s="9" t="s">
        <x:v>30</x:v>
      </x:c>
      <x:c r="G7" s="9" t="s">
        <x:v>31</x:v>
      </x:c>
      <x:c r="H7" s="11">
        <x:v>0.46310000000000001</x:v>
      </x:c>
      <x:c r="I7" s="8" t="s">
        <x:v>32</x:v>
      </x:c>
      <x:c r="J7" s="8" t="s">
        <x:v>33</x:v>
      </x:c>
      <x:c r="K7" s="8" t="s">
        <x:v>34</x:v>
      </x:c>
      <x:c r="L7" s="8" t="s">
        <x:v>35</x:v>
      </x:c>
      <x:c r="M7" s="8" t="s">
        <x:v>36</x:v>
      </x:c>
      <x:c r="N7" s="10" t="s">
        <x:v>29</x:v>
      </x:c>
      <x:c r="O7" s="10" t="s">
        <x:v>37</x:v>
      </x:c>
      <x:c r="P7" s="10" t="str">
        <x:v>已确认</x:v>
      </x:c>
      <x:c r="Q7" s="8" t="s">
        <x:v>38</x:v>
      </x:c>
      <x:c r="R7" s="8" t="s">
        <x:v>39</x:v>
      </x:c>
      <x:c r="S7" s="8" t="s">
        <x:v>40</x:v>
      </x:c>
      <x:c r="T7" s="21" t="str">
        <x:v>yes</x:v>
      </x:c>
      <x:c r="U7" s="21" t="str">
        <x:v>yes</x:v>
      </x:c>
      <x:c r="V7" s="21" t="str">
        <x:v>uncertain</x:v>
      </x:c>
      <x:c r="W7" s="21" t="str">
        <x:v>not_applicable</x:v>
      </x:c>
      <x:c r="X7" s="21" t="str">
        <x:v>uncertain</x:v>
      </x:c>
      <x:c r="Y7" s="21" t="str">
        <x:v>evidence_needed</x:v>
      </x:c>
      <x:c r="Z7" s="21" t="str">
        <x:v>completed</x:v>
      </x:c>
    </x:row>
    <x:row r="8" ht="78" customHeight="1">
      <x:c r="A8" s="9">
        <x:v>2</x:v>
      </x:c>
      <x:c r="B8" s="9" t="s">
        <x:v>41</x:v>
      </x:c>
      <x:c r="C8" s="8" t="s">
        <x:v>42</x:v>
      </x:c>
      <x:c r="D8" s="9" t="s">
        <x:v>28</x:v>
      </x:c>
      <x:c r="E8" s="9" t="s">
        <x:v>30</x:v>
      </x:c>
      <x:c r="F8" s="9" t="s">
        <x:v>30</x:v>
      </x:c>
      <x:c r="G8" s="9" t="s">
        <x:v>31</x:v>
      </x:c>
      <x:c r="H8" s="11">
        <x:v>0.41060000000000002</x:v>
      </x:c>
      <x:c r="I8" s="8" t="s">
        <x:v>43</x:v>
      </x:c>
      <x:c r="J8" s="8" t="s">
        <x:v>44</x:v>
      </x:c>
      <x:c r="K8" s="8" t="s">
        <x:v>45</x:v>
      </x:c>
      <x:c r="L8" s="8" t="s">
        <x:v>35</x:v>
      </x:c>
      <x:c r="M8" s="8" t="s">
        <x:v>46</x:v>
      </x:c>
      <x:c r="N8" s="10" t="s">
        <x:v>30</x:v>
      </x:c>
      <x:c r="O8" s="10" t="s">
        <x:v>47</x:v>
      </x:c>
      <x:c r="P8" s="18" t="str">
        <x:v>已确认</x:v>
      </x:c>
      <x:c r="Q8" s="8" t="s">
        <x:v>48</x:v>
      </x:c>
      <x:c r="R8" s="8" t="s">
        <x:v>49</x:v>
      </x:c>
      <x:c r="S8" s="8" t="s">
        <x:v>40</x:v>
      </x:c>
      <x:c r="T8" s="21" t="str">
        <x:v>yes</x:v>
      </x:c>
      <x:c r="U8" s="21" t="str">
        <x:v>yes</x:v>
      </x:c>
      <x:c r="V8" s="21" t="str">
        <x:v>yes</x:v>
      </x:c>
      <x:c r="W8" s="21" t="str">
        <x:v>not_applicable</x:v>
      </x:c>
      <x:c r="X8" s="21" t="str">
        <x:v>uncertain</x:v>
      </x:c>
      <x:c r="Y8" s="21" t="str">
        <x:v>high_risk</x:v>
      </x:c>
      <x:c r="Z8" s="21" t="str">
        <x:v>completed</x:v>
      </x:c>
    </x:row>
    <x:row r="9" ht="78" customHeight="1">
      <x:c r="A9" s="9">
        <x:v>3</x:v>
      </x:c>
      <x:c r="B9" s="9" t="s">
        <x:v>50</x:v>
      </x:c>
      <x:c r="C9" s="8" t="s">
        <x:v>51</x:v>
      </x:c>
      <x:c r="D9" s="9" t="s">
        <x:v>28</x:v>
      </x:c>
      <x:c r="E9" s="9" t="s">
        <x:v>29</x:v>
      </x:c>
      <x:c r="F9" s="9" t="s">
        <x:v>30</x:v>
      </x:c>
      <x:c r="G9" s="9" t="s">
        <x:v>31</x:v>
      </x:c>
      <x:c r="H9" s="11">
        <x:v>0.48559999999999998</x:v>
      </x:c>
      <x:c r="I9" s="8" t="s">
        <x:v>52</x:v>
      </x:c>
      <x:c r="J9" s="8" t="s">
        <x:v>53</x:v>
      </x:c>
      <x:c r="K9" s="8" t="str">
        <x:v>弱相关且引用与理由不完全匹配：当前链接指向汕尾普通食品功效案例，页面未包含果冻减肥或虚假用户评论内容，只能提供普通食品功效宣传的类别层面支持。</x:v>
      </x:c>
      <x:c r="L9" s="8" t="s">
        <x:v>35</x:v>
      </x:c>
      <x:c r="M9" s="8" t="s">
        <x:v>54</x:v>
      </x:c>
      <x:c r="N9" s="10" t="s">
        <x:v>29</x:v>
      </x:c>
      <x:c r="O9" s="10" t="str">
        <x:v>过度升级，且当前引用与模型理由不完全匹配</x:v>
      </x:c>
      <x:c r="P9" s="10" t="str">
        <x:v>已确认</x:v>
      </x:c>
      <x:c r="Q9" s="8" t="str">
        <x:v>输入与判断：部分支持：快速减肥和“消费者证明”需要效果证据及评价真实性证明，尚不能仅凭文案认定虚假。；引用：弱相关且引用与理由不完全匹配：当前链接指向汕尾普通食品功效案例，页面未包含果冻减肥或虚假用户评论内容，只能提供普通食品功效宣传的类别层面支持。；建议可执行性：无法核查：test_full.csv未保存next_action字段。；不确定性：不足：理由将缺少证据直接推向高风险，没有充分说明仍需核验当前评价和产品效果。；人工结论：当前证据更支持evidence_needed。</x:v>
      </x:c>
      <x:c r="R9" s="8" t="s">
        <x:v>55</x:v>
      </x:c>
      <x:c r="S9" s="8" t="s">
        <x:v>56</x:v>
      </x:c>
      <x:c r="T9" s="21" t="str">
        <x:v>yes</x:v>
      </x:c>
      <x:c r="U9" s="21" t="str">
        <x:v>no</x:v>
      </x:c>
      <x:c r="V9" s="21" t="str">
        <x:v>uncertain</x:v>
      </x:c>
      <x:c r="W9" s="21" t="str">
        <x:v>not_applicable</x:v>
      </x:c>
      <x:c r="X9" s="21" t="str">
        <x:v>no</x:v>
      </x:c>
      <x:c r="Y9" s="21" t="str">
        <x:v>evidence_needed</x:v>
      </x:c>
      <x:c r="Z9" s="21" t="str">
        <x:v>completed</x:v>
      </x:c>
    </x:row>
    <x:row r="10" ht="78" customHeight="1">
      <x:c r="A10" s="9">
        <x:v>4</x:v>
      </x:c>
      <x:c r="B10" s="9" t="s">
        <x:v>57</x:v>
      </x:c>
      <x:c r="C10" s="8" t="s">
        <x:v>58</x:v>
      </x:c>
      <x:c r="D10" s="9" t="s">
        <x:v>28</x:v>
      </x:c>
      <x:c r="E10" s="9" t="s">
        <x:v>29</x:v>
      </x:c>
      <x:c r="F10" s="9" t="s">
        <x:v>30</x:v>
      </x:c>
      <x:c r="G10" s="9" t="s">
        <x:v>31</x:v>
      </x:c>
      <x:c r="H10" s="11">
        <x:v>0.45450000000000002</x:v>
      </x:c>
      <x:c r="I10" s="8" t="s">
        <x:v>59</x:v>
      </x:c>
      <x:c r="J10" s="8" t="s">
        <x:v>60</x:v>
      </x:c>
      <x:c r="K10" s="8" t="s">
        <x:v>61</x:v>
      </x:c>
      <x:c r="L10" s="8" t="s">
        <x:v>35</x:v>
      </x:c>
      <x:c r="M10" s="8" t="s">
        <x:v>62</x:v>
      </x:c>
      <x:c r="N10" s="10" t="s">
        <x:v>29</x:v>
      </x:c>
      <x:c r="O10" s="10" t="s">
        <x:v>63</x:v>
      </x:c>
      <x:c r="P10" s="18" t="str">
        <x:v>已确认</x:v>
      </x:c>
      <x:c r="Q10" s="8" t="s">
        <x:v>64</x:v>
      </x:c>
      <x:c r="R10" s="8" t="s">
        <x:v>65</x:v>
      </x:c>
      <x:c r="S10" s="8" t="s">
        <x:v>66</x:v>
      </x:c>
      <x:c r="T10" s="21" t="str">
        <x:v>yes</x:v>
      </x:c>
      <x:c r="U10" s="21" t="str">
        <x:v>yes</x:v>
      </x:c>
      <x:c r="V10" s="21" t="str">
        <x:v>uncertain</x:v>
      </x:c>
      <x:c r="W10" s="21" t="str">
        <x:v>not_applicable</x:v>
      </x:c>
      <x:c r="X10" s="21" t="str">
        <x:v>no</x:v>
      </x:c>
      <x:c r="Y10" s="21" t="str">
        <x:v>evidence_needed</x:v>
      </x:c>
      <x:c r="Z10" s="21" t="str">
        <x:v>completed</x:v>
      </x:c>
    </x:row>
    <x:row r="11" ht="78" customHeight="1">
      <x:c r="A11" s="9">
        <x:v>5</x:v>
      </x:c>
      <x:c r="B11" s="9" t="s">
        <x:v>67</x:v>
      </x:c>
      <x:c r="C11" s="8" t="s">
        <x:v>68</x:v>
      </x:c>
      <x:c r="D11" s="9" t="s">
        <x:v>28</x:v>
      </x:c>
      <x:c r="E11" s="9" t="s">
        <x:v>30</x:v>
      </x:c>
      <x:c r="F11" s="9" t="s">
        <x:v>30</x:v>
      </x:c>
      <x:c r="G11" s="9" t="s">
        <x:v>31</x:v>
      </x:c>
      <x:c r="H11" s="11">
        <x:v>0.31209999999999999</x:v>
      </x:c>
      <x:c r="I11" s="8" t="s">
        <x:v>69</x:v>
      </x:c>
      <x:c r="J11" s="8" t="s">
        <x:v>70</x:v>
      </x:c>
      <x:c r="K11" s="8" t="s">
        <x:v>71</x:v>
      </x:c>
      <x:c r="L11" s="8" t="s">
        <x:v>35</x:v>
      </x:c>
      <x:c r="M11" s="8" t="s">
        <x:v>72</x:v>
      </x:c>
      <x:c r="N11" s="10" t="s">
        <x:v>30</x:v>
      </x:c>
      <x:c r="O11" s="10" t="s">
        <x:v>47</x:v>
      </x:c>
      <x:c r="P11" s="10" t="str">
        <x:v>已确认</x:v>
      </x:c>
      <x:c r="Q11" s="8" t="s">
        <x:v>73</x:v>
      </x:c>
      <x:c r="R11" s="8" t="s">
        <x:v>74</x:v>
      </x:c>
      <x:c r="S11" s="8" t="s">
        <x:v>75</x:v>
      </x:c>
      <x:c r="T11" s="21" t="str">
        <x:v>yes</x:v>
      </x:c>
      <x:c r="U11" s="21" t="str">
        <x:v>yes</x:v>
      </x:c>
      <x:c r="V11" s="21" t="str">
        <x:v>yes</x:v>
      </x:c>
      <x:c r="W11" s="21" t="str">
        <x:v>not_applicable</x:v>
      </x:c>
      <x:c r="X11" s="21" t="str">
        <x:v>uncertain</x:v>
      </x:c>
      <x:c r="Y11" s="21" t="str">
        <x:v>high_risk</x:v>
      </x:c>
      <x:c r="Z11" s="21" t="str">
        <x:v>completed</x:v>
      </x:c>
    </x:row>
    <x:row r="12" ht="78" customHeight="1">
      <x:c r="A12" s="9">
        <x:v>6</x:v>
      </x:c>
      <x:c r="B12" s="9" t="s">
        <x:v>76</x:v>
      </x:c>
      <x:c r="C12" s="8" t="s">
        <x:v>77</x:v>
      </x:c>
      <x:c r="D12" s="9" t="s">
        <x:v>28</x:v>
      </x:c>
      <x:c r="E12" s="9" t="s">
        <x:v>29</x:v>
      </x:c>
      <x:c r="F12" s="9" t="s">
        <x:v>30</x:v>
      </x:c>
      <x:c r="G12" s="9" t="s">
        <x:v>31</x:v>
      </x:c>
      <x:c r="H12" s="11">
        <x:v>0.36980000000000002</x:v>
      </x:c>
      <x:c r="I12" s="8" t="s">
        <x:v>78</x:v>
      </x:c>
      <x:c r="J12" s="8" t="s">
        <x:v>79</x:v>
      </x:c>
      <x:c r="K12" s="8" t="s">
        <x:v>80</x:v>
      </x:c>
      <x:c r="L12" s="8" t="s">
        <x:v>35</x:v>
      </x:c>
      <x:c r="M12" s="8" t="s">
        <x:v>81</x:v>
      </x:c>
      <x:c r="N12" s="10" t="s">
        <x:v>29</x:v>
      </x:c>
      <x:c r="O12" s="10" t="s">
        <x:v>82</x:v>
      </x:c>
      <x:c r="P12" s="10" t="str">
        <x:v>已确认</x:v>
      </x:c>
      <x:c r="Q12" s="8" t="s">
        <x:v>83</x:v>
      </x:c>
      <x:c r="R12" s="8" t="s">
        <x:v>55</x:v>
      </x:c>
      <x:c r="S12" s="8" t="s">
        <x:v>56</x:v>
      </x:c>
      <x:c r="T12" s="21" t="str">
        <x:v>yes</x:v>
      </x:c>
      <x:c r="U12" s="21" t="str">
        <x:v>yes</x:v>
      </x:c>
      <x:c r="V12" s="21" t="str">
        <x:v>uncertain</x:v>
      </x:c>
      <x:c r="W12" s="21" t="str">
        <x:v>not_applicable</x:v>
      </x:c>
      <x:c r="X12" s="21" t="str">
        <x:v>no</x:v>
      </x:c>
      <x:c r="Y12" s="21" t="str">
        <x:v>evidence_needed</x:v>
      </x:c>
      <x:c r="Z12" s="21" t="str">
        <x:v>completed</x:v>
      </x:c>
    </x:row>
    <x:row r="13" ht="78" customHeight="1">
      <x:c r="A13" s="9">
        <x:v>7</x:v>
      </x:c>
      <x:c r="B13" s="9" t="s">
        <x:v>84</x:v>
      </x:c>
      <x:c r="C13" s="8" t="s">
        <x:v>85</x:v>
      </x:c>
      <x:c r="D13" s="9" t="s">
        <x:v>28</x:v>
      </x:c>
      <x:c r="E13" s="9" t="s">
        <x:v>29</x:v>
      </x:c>
      <x:c r="F13" s="9" t="s">
        <x:v>30</x:v>
      </x:c>
      <x:c r="G13" s="9" t="s">
        <x:v>31</x:v>
      </x:c>
      <x:c r="H13" s="11">
        <x:v>0.73229999999999995</x:v>
      </x:c>
      <x:c r="I13" s="8" t="s">
        <x:v>86</x:v>
      </x:c>
      <x:c r="J13" s="8" t="s">
        <x:v>87</x:v>
      </x:c>
      <x:c r="K13" s="8" t="s">
        <x:v>88</x:v>
      </x:c>
      <x:c r="L13" s="8" t="s">
        <x:v>35</x:v>
      </x:c>
      <x:c r="M13" s="8" t="s">
        <x:v>89</x:v>
      </x:c>
      <x:c r="N13" s="10" t="s">
        <x:v>29</x:v>
      </x:c>
      <x:c r="O13" s="10" t="s">
        <x:v>90</x:v>
      </x:c>
      <x:c r="P13" s="10" t="str">
        <x:v>已确认</x:v>
      </x:c>
      <x:c r="Q13" s="8" t="s">
        <x:v>91</x:v>
      </x:c>
      <x:c r="R13" s="8" t="s">
        <x:v>92</x:v>
      </x:c>
      <x:c r="S13" s="8" t="s">
        <x:v>75</x:v>
      </x:c>
      <x:c r="T13" s="21" t="str">
        <x:v>yes</x:v>
      </x:c>
      <x:c r="U13" s="21" t="str">
        <x:v>yes</x:v>
      </x:c>
      <x:c r="V13" s="21" t="str">
        <x:v>uncertain</x:v>
      </x:c>
      <x:c r="W13" s="21" t="str">
        <x:v>not_applicable</x:v>
      </x:c>
      <x:c r="X13" s="21" t="str">
        <x:v>no</x:v>
      </x:c>
      <x:c r="Y13" s="21" t="str">
        <x:v>evidence_needed</x:v>
      </x:c>
      <x:c r="Z13" s="21" t="str">
        <x:v>completed</x:v>
      </x:c>
    </x:row>
    <x:row r="14" ht="78" customHeight="1">
      <x:c r="A14" s="9">
        <x:v>8</x:v>
      </x:c>
      <x:c r="B14" s="9" t="s">
        <x:v>93</x:v>
      </x:c>
      <x:c r="C14" s="8" t="s">
        <x:v>94</x:v>
      </x:c>
      <x:c r="D14" s="9" t="s">
        <x:v>28</x:v>
      </x:c>
      <x:c r="E14" s="9" t="s">
        <x:v>29</x:v>
      </x:c>
      <x:c r="F14" s="9" t="s">
        <x:v>95</x:v>
      </x:c>
      <x:c r="G14" s="9" t="s">
        <x:v>96</x:v>
      </x:c>
      <x:c r="H14" s="11">
        <x:v>0.2928</x:v>
      </x:c>
      <x:c r="I14" s="8" t="s">
        <x:v>97</x:v>
      </x:c>
      <x:c r="J14" s="8" t="s">
        <x:v>98</x:v>
      </x:c>
      <x:c r="K14" s="8" t="s">
        <x:v>99</x:v>
      </x:c>
      <x:c r="L14" s="8" t="s">
        <x:v>35</x:v>
      </x:c>
      <x:c r="M14" s="8" t="s">
        <x:v>100</x:v>
      </x:c>
      <x:c r="N14" s="10" t="s">
        <x:v>29</x:v>
      </x:c>
      <x:c r="O14" s="10" t="s">
        <x:v>101</x:v>
      </x:c>
      <x:c r="P14" s="10" t="str">
        <x:v>已确认</x:v>
      </x:c>
      <x:c r="Q14" s="8" t="s">
        <x:v>102</x:v>
      </x:c>
      <x:c r="R14" s="8"/>
      <x:c r="S14" s="8"/>
      <x:c r="T14" s="21" t="str">
        <x:v>no</x:v>
      </x:c>
      <x:c r="U14" s="21" t="str">
        <x:v>not_applicable</x:v>
      </x:c>
      <x:c r="V14" s="21" t="str">
        <x:v>yes</x:v>
      </x:c>
      <x:c r="W14" s="21" t="str">
        <x:v>not_applicable</x:v>
      </x:c>
      <x:c r="X14" s="21" t="str">
        <x:v>yes</x:v>
      </x:c>
      <x:c r="Y14" s="21" t="str">
        <x:v>evidence_needed</x:v>
      </x:c>
      <x:c r="Z14" s="21" t="str">
        <x:v>completed</x:v>
      </x:c>
    </x:row>
    <x:row r="15" ht="78" customHeight="1">
      <x:c r="A15" s="9">
        <x:v>9</x:v>
      </x:c>
      <x:c r="B15" s="9" t="s">
        <x:v>103</x:v>
      </x:c>
      <x:c r="C15" s="8" t="s">
        <x:v>104</x:v>
      </x:c>
      <x:c r="D15" s="9" t="s">
        <x:v>28</x:v>
      </x:c>
      <x:c r="E15" s="9" t="s">
        <x:v>30</x:v>
      </x:c>
      <x:c r="F15" s="9" t="s">
        <x:v>30</x:v>
      </x:c>
      <x:c r="G15" s="9" t="s">
        <x:v>31</x:v>
      </x:c>
      <x:c r="H15" s="11">
        <x:v>0.43120000000000003</x:v>
      </x:c>
      <x:c r="I15" s="8" t="s">
        <x:v>105</x:v>
      </x:c>
      <x:c r="J15" s="8" t="s">
        <x:v>106</x:v>
      </x:c>
      <x:c r="K15" s="8" t="s">
        <x:v>107</x:v>
      </x:c>
      <x:c r="L15" s="8" t="s">
        <x:v>35</x:v>
      </x:c>
      <x:c r="M15" s="8" t="s">
        <x:v>108</x:v>
      </x:c>
      <x:c r="N15" s="10" t="s">
        <x:v>30</x:v>
      </x:c>
      <x:c r="O15" s="10" t="s">
        <x:v>47</x:v>
      </x:c>
      <x:c r="P15" s="10" t="str">
        <x:v>已确认</x:v>
      </x:c>
      <x:c r="Q15" s="8" t="s">
        <x:v>109</x:v>
      </x:c>
      <x:c r="R15" s="8" t="s">
        <x:v>110</x:v>
      </x:c>
      <x:c r="S15" s="8" t="s">
        <x:v>111</x:v>
      </x:c>
      <x:c r="T15" s="21" t="str">
        <x:v>yes</x:v>
      </x:c>
      <x:c r="U15" s="21" t="str">
        <x:v>yes</x:v>
      </x:c>
      <x:c r="V15" s="21" t="str">
        <x:v>yes</x:v>
      </x:c>
      <x:c r="W15" s="21" t="str">
        <x:v>not_applicable</x:v>
      </x:c>
      <x:c r="X15" s="21" t="str">
        <x:v>uncertain</x:v>
      </x:c>
      <x:c r="Y15" s="21" t="str">
        <x:v>high_risk</x:v>
      </x:c>
      <x:c r="Z15" s="21" t="str">
        <x:v>completed</x:v>
      </x:c>
    </x:row>
    <x:row r="16" ht="78" customHeight="1">
      <x:c r="A16" s="9">
        <x:v>10</x:v>
      </x:c>
      <x:c r="B16" s="9" t="s">
        <x:v>112</x:v>
      </x:c>
      <x:c r="C16" s="8" t="s">
        <x:v>113</x:v>
      </x:c>
      <x:c r="D16" s="9" t="s">
        <x:v>28</x:v>
      </x:c>
      <x:c r="E16" s="9" t="s">
        <x:v>30</x:v>
      </x:c>
      <x:c r="F16" s="9" t="s">
        <x:v>30</x:v>
      </x:c>
      <x:c r="G16" s="9" t="s">
        <x:v>31</x:v>
      </x:c>
      <x:c r="H16" s="11">
        <x:v>0.68120000000000003</x:v>
      </x:c>
      <x:c r="I16" s="8" t="s">
        <x:v>114</x:v>
      </x:c>
      <x:c r="J16" s="8" t="s">
        <x:v>115</x:v>
      </x:c>
      <x:c r="K16" s="8" t="s">
        <x:v>116</x:v>
      </x:c>
      <x:c r="L16" s="8" t="s">
        <x:v>35</x:v>
      </x:c>
      <x:c r="M16" s="8" t="s">
        <x:v>117</x:v>
      </x:c>
      <x:c r="N16" s="10" t="s">
        <x:v>30</x:v>
      </x:c>
      <x:c r="O16" s="10" t="s">
        <x:v>47</x:v>
      </x:c>
      <x:c r="P16" s="10" t="str">
        <x:v>已确认</x:v>
      </x:c>
      <x:c r="Q16" s="8" t="s">
        <x:v>118</x:v>
      </x:c>
      <x:c r="R16" s="8" t="s">
        <x:v>119</x:v>
      </x:c>
      <x:c r="S16" s="8" t="s">
        <x:v>111</x:v>
      </x:c>
      <x:c r="T16" s="21" t="str">
        <x:v>yes</x:v>
      </x:c>
      <x:c r="U16" s="21" t="str">
        <x:v>yes</x:v>
      </x:c>
      <x:c r="V16" s="21" t="str">
        <x:v>yes</x:v>
      </x:c>
      <x:c r="W16" s="21" t="str">
        <x:v>not_applicable</x:v>
      </x:c>
      <x:c r="X16" s="21" t="str">
        <x:v>uncertain</x:v>
      </x:c>
      <x:c r="Y16" s="21" t="str">
        <x:v>high_risk</x:v>
      </x:c>
      <x:c r="Z16" s="21" t="str">
        <x:v>completed</x:v>
      </x:c>
    </x:row>
    <x:row r="17" ht="78" customHeight="1">
      <x:c r="A17" s="9">
        <x:v>11</x:v>
      </x:c>
      <x:c r="B17" s="9" t="s">
        <x:v>120</x:v>
      </x:c>
      <x:c r="C17" s="8" t="s">
        <x:v>121</x:v>
      </x:c>
      <x:c r="D17" s="9" t="s">
        <x:v>122</x:v>
      </x:c>
      <x:c r="E17" s="9" t="s">
        <x:v>123</x:v>
      </x:c>
      <x:c r="F17" s="9" t="s">
        <x:v>95</x:v>
      </x:c>
      <x:c r="G17" s="9" t="s">
        <x:v>96</x:v>
      </x:c>
      <x:c r="H17" s="11">
        <x:v>0.11409999999999999</x:v>
      </x:c>
      <x:c r="I17" s="8" t="s">
        <x:v>97</x:v>
      </x:c>
      <x:c r="J17" s="8" t="str">
        <x:v>支持低风险：仅描述笔记本页面规格，不涉及已配置的高风险类型；按当前阈值转人工符合系统规则，但会降低低风险样本的覆盖率。</x:v>
      </x:c>
      <x:c r="K17" s="8" t="s">
        <x:v>124</x:v>
      </x:c>
      <x:c r="L17" s="8" t="s">
        <x:v>35</x:v>
      </x:c>
      <x:c r="M17" s="8" t="s">
        <x:v>125</x:v>
      </x:c>
      <x:c r="N17" s="10" t="s">
        <x:v>123</x:v>
      </x:c>
      <x:c r="O17" s="10" t="str">
        <x:v>按当前阈值转人工合理，但低风险样本未被系统覆盖</x:v>
      </x:c>
      <x:c r="P17" s="10" t="str">
        <x:v>已确认</x:v>
      </x:c>
      <x:c r="Q17" s="8" t="str">
        <x:v>输入与判断：支持低风险：仅描述笔记本页面规格，不涉及已配置的高风险类型；按当前阈值转人工符合系统规则，但会降低低风险样本的覆盖率。；引用：无引用：系统因低于阈值转人工，未生成来源；低风险判断仅基于输入内容，不等于法律批准。；建议可执行性：无法核查：test_full.csv未保存next_action字段。；不确定性：清楚：系统说明低于阈值并转人工，但没有区分普通商品规格信息。；人工结论：当前证据更支持low_risk。</x:v>
      </x:c>
      <x:c r="R17" s="8"/>
      <x:c r="S17" s="8"/>
      <x:c r="T17" s="21" t="str">
        <x:v>no</x:v>
      </x:c>
      <x:c r="U17" s="21" t="str">
        <x:v>not_applicable</x:v>
      </x:c>
      <x:c r="V17" s="21" t="str">
        <x:v>yes</x:v>
      </x:c>
      <x:c r="W17" s="21" t="str">
        <x:v>not_applicable</x:v>
      </x:c>
      <x:c r="X17" s="21" t="str">
        <x:v>yes</x:v>
      </x:c>
      <x:c r="Y17" s="21" t="str">
        <x:v>low_risk</x:v>
      </x:c>
      <x:c r="Z17" s="21" t="str">
        <x:v>completed</x:v>
      </x:c>
    </x:row>
    <x:row r="18" ht="78" customHeight="1">
      <x:c r="A18" s="9">
        <x:v>12</x:v>
      </x:c>
      <x:c r="B18" s="9" t="s">
        <x:v>126</x:v>
      </x:c>
      <x:c r="C18" s="8" t="s">
        <x:v>127</x:v>
      </x:c>
      <x:c r="D18" s="9" t="s">
        <x:v>122</x:v>
      </x:c>
      <x:c r="E18" s="9" t="s">
        <x:v>29</x:v>
      </x:c>
      <x:c r="F18" s="9" t="s">
        <x:v>95</x:v>
      </x:c>
      <x:c r="G18" s="9" t="s">
        <x:v>96</x:v>
      </x:c>
      <x:c r="H18" s="11">
        <x:v>0.2661</x:v>
      </x:c>
      <x:c r="I18" s="8" t="s">
        <x:v>97</x:v>
      </x:c>
      <x:c r="J18" s="8" t="s">
        <x:v>128</x:v>
      </x:c>
      <x:c r="K18" s="8" t="s">
        <x:v>129</x:v>
      </x:c>
      <x:c r="L18" s="8" t="s">
        <x:v>35</x:v>
      </x:c>
      <x:c r="M18" s="8" t="s">
        <x:v>130</x:v>
      </x:c>
      <x:c r="N18" s="10" t="s">
        <x:v>29</x:v>
      </x:c>
      <x:c r="O18" s="10" t="s">
        <x:v>101</x:v>
      </x:c>
      <x:c r="P18" s="10" t="str">
        <x:v>已确认</x:v>
      </x:c>
      <x:c r="Q18" s="8" t="s">
        <x:v>131</x:v>
      </x:c>
      <x:c r="R18" s="8"/>
      <x:c r="S18" s="8"/>
      <x:c r="T18" s="21" t="str">
        <x:v>no</x:v>
      </x:c>
      <x:c r="U18" s="21" t="str">
        <x:v>not_applicable</x:v>
      </x:c>
      <x:c r="V18" s="21" t="str">
        <x:v>yes</x:v>
      </x:c>
      <x:c r="W18" s="21" t="str">
        <x:v>not_applicable</x:v>
      </x:c>
      <x:c r="X18" s="21" t="str">
        <x:v>yes</x:v>
      </x:c>
      <x:c r="Y18" s="21" t="str">
        <x:v>evidence_needed</x:v>
      </x:c>
      <x:c r="Z18" s="21" t="str">
        <x:v>completed</x:v>
      </x:c>
    </x:row>
    <x:row r="19" ht="78" customHeight="1">
      <x:c r="A19" s="9">
        <x:v>13</x:v>
      </x:c>
      <x:c r="B19" s="9" t="s">
        <x:v>132</x:v>
      </x:c>
      <x:c r="C19" s="8" t="s">
        <x:v>133</x:v>
      </x:c>
      <x:c r="D19" s="9" t="s">
        <x:v>122</x:v>
      </x:c>
      <x:c r="E19" s="9" t="s">
        <x:v>30</x:v>
      </x:c>
      <x:c r="F19" s="9" t="s">
        <x:v>30</x:v>
      </x:c>
      <x:c r="G19" s="9" t="s">
        <x:v>31</x:v>
      </x:c>
      <x:c r="H19" s="11">
        <x:v>0.49709999999999999</x:v>
      </x:c>
      <x:c r="I19" s="8" t="s">
        <x:v>134</x:v>
      </x:c>
      <x:c r="J19" s="8" t="s">
        <x:v>135</x:v>
      </x:c>
      <x:c r="K19" s="8" t="s">
        <x:v>136</x:v>
      </x:c>
      <x:c r="L19" s="8" t="s">
        <x:v>35</x:v>
      </x:c>
      <x:c r="M19" s="8" t="s">
        <x:v>137</x:v>
      </x:c>
      <x:c r="N19" s="10" t="s">
        <x:v>30</x:v>
      </x:c>
      <x:c r="O19" s="10" t="s">
        <x:v>138</x:v>
      </x:c>
      <x:c r="P19" s="10" t="str">
        <x:v>已确认</x:v>
      </x:c>
      <x:c r="Q19" s="8" t="s">
        <x:v>139</x:v>
      </x:c>
      <x:c r="R19" s="8" t="s">
        <x:v>140</x:v>
      </x:c>
      <x:c r="S19" s="8" t="s">
        <x:v>141</x:v>
      </x:c>
      <x:c r="T19" s="21" t="str">
        <x:v>yes</x:v>
      </x:c>
      <x:c r="U19" s="21" t="str">
        <x:v>yes</x:v>
      </x:c>
      <x:c r="V19" s="21" t="str">
        <x:v>yes</x:v>
      </x:c>
      <x:c r="W19" s="21" t="str">
        <x:v>not_applicable</x:v>
      </x:c>
      <x:c r="X19" s="21" t="str">
        <x:v>uncertain</x:v>
      </x:c>
      <x:c r="Y19" s="21" t="str">
        <x:v>high_risk</x:v>
      </x:c>
      <x:c r="Z19" s="21" t="str">
        <x:v>completed</x:v>
      </x:c>
    </x:row>
    <x:row r="20" ht="78" customHeight="1">
      <x:c r="A20" s="9">
        <x:v>14</x:v>
      </x:c>
      <x:c r="B20" s="9" t="s">
        <x:v>142</x:v>
      </x:c>
      <x:c r="C20" s="8" t="s">
        <x:v>143</x:v>
      </x:c>
      <x:c r="D20" s="9" t="s">
        <x:v>122</x:v>
      </x:c>
      <x:c r="E20" s="9" t="s">
        <x:v>123</x:v>
      </x:c>
      <x:c r="F20" s="9" t="s">
        <x:v>123</x:v>
      </x:c>
      <x:c r="G20" s="9" t="s">
        <x:v>31</x:v>
      </x:c>
      <x:c r="H20" s="11">
        <x:v>0.34699999999999998</x:v>
      </x:c>
      <x:c r="I20" s="8" t="s">
        <x:v>144</x:v>
      </x:c>
      <x:c r="J20" s="8" t="s">
        <x:v>145</x:v>
      </x:c>
      <x:c r="K20" s="8" t="s">
        <x:v>146</x:v>
      </x:c>
      <x:c r="L20" s="8" t="s">
        <x:v>35</x:v>
      </x:c>
      <x:c r="M20" s="8" t="s">
        <x:v>147</x:v>
      </x:c>
      <x:c r="N20" s="10" t="s">
        <x:v>123</x:v>
      </x:c>
      <x:c r="O20" s="10" t="s">
        <x:v>148</x:v>
      </x:c>
      <x:c r="P20" s="10" t="str">
        <x:v>已确认</x:v>
      </x:c>
      <x:c r="Q20" s="8" t="s">
        <x:v>149</x:v>
      </x:c>
      <x:c r="R20" s="8"/>
      <x:c r="S20" s="8"/>
      <x:c r="T20" s="21" t="str">
        <x:v>no</x:v>
      </x:c>
      <x:c r="U20" s="21" t="str">
        <x:v>not_applicable</x:v>
      </x:c>
      <x:c r="V20" s="21" t="str">
        <x:v>yes</x:v>
      </x:c>
      <x:c r="W20" s="21" t="str">
        <x:v>not_applicable</x:v>
      </x:c>
      <x:c r="X20" s="21" t="str">
        <x:v>yes</x:v>
      </x:c>
      <x:c r="Y20" s="21" t="str">
        <x:v>low_risk</x:v>
      </x:c>
      <x:c r="Z20" s="21" t="str">
        <x:v>completed</x:v>
      </x:c>
    </x:row>
    <x:row r="21" ht="78" customHeight="1">
      <x:c r="A21" s="9">
        <x:v>15</x:v>
      </x:c>
      <x:c r="B21" s="9" t="s">
        <x:v>150</x:v>
      </x:c>
      <x:c r="C21" s="8" t="s">
        <x:v>151</x:v>
      </x:c>
      <x:c r="D21" s="9" t="s">
        <x:v>122</x:v>
      </x:c>
      <x:c r="E21" s="9" t="s">
        <x:v>29</x:v>
      </x:c>
      <x:c r="F21" s="9" t="s">
        <x:v>95</x:v>
      </x:c>
      <x:c r="G21" s="9" t="s">
        <x:v>96</x:v>
      </x:c>
      <x:c r="H21" s="11">
        <x:v>0.26019999999999999</x:v>
      </x:c>
      <x:c r="I21" s="8" t="s">
        <x:v>97</x:v>
      </x:c>
      <x:c r="J21" s="8" t="s">
        <x:v>152</x:v>
      </x:c>
      <x:c r="K21" s="8" t="s">
        <x:v>153</x:v>
      </x:c>
      <x:c r="L21" s="8" t="s">
        <x:v>35</x:v>
      </x:c>
      <x:c r="M21" s="8" t="s">
        <x:v>154</x:v>
      </x:c>
      <x:c r="N21" s="10" t="s">
        <x:v>29</x:v>
      </x:c>
      <x:c r="O21" s="10" t="s">
        <x:v>101</x:v>
      </x:c>
      <x:c r="P21" s="10" t="str">
        <x:v>已确认</x:v>
      </x:c>
      <x:c r="Q21" s="8" t="s">
        <x:v>155</x:v>
      </x:c>
      <x:c r="R21" s="8"/>
      <x:c r="S21" s="8"/>
      <x:c r="T21" s="21" t="str">
        <x:v>no</x:v>
      </x:c>
      <x:c r="U21" s="21" t="str">
        <x:v>not_applicable</x:v>
      </x:c>
      <x:c r="V21" s="21" t="str">
        <x:v>yes</x:v>
      </x:c>
      <x:c r="W21" s="21" t="str">
        <x:v>not_applicable</x:v>
      </x:c>
      <x:c r="X21" s="21" t="str">
        <x:v>yes</x:v>
      </x:c>
      <x:c r="Y21" s="21" t="str">
        <x:v>evidence_needed</x:v>
      </x:c>
      <x:c r="Z21" s="21" t="str">
        <x:v>completed</x:v>
      </x:c>
    </x:row>
    <x:row r="22" ht="78" customHeight="1">
      <x:c r="A22" s="9">
        <x:v>16</x:v>
      </x:c>
      <x:c r="B22" s="9" t="s">
        <x:v>156</x:v>
      </x:c>
      <x:c r="C22" s="8" t="s">
        <x:v>157</x:v>
      </x:c>
      <x:c r="D22" s="9" t="s">
        <x:v>122</x:v>
      </x:c>
      <x:c r="E22" s="9" t="s">
        <x:v>30</x:v>
      </x:c>
      <x:c r="F22" s="9" t="s">
        <x:v>30</x:v>
      </x:c>
      <x:c r="G22" s="9" t="s">
        <x:v>31</x:v>
      </x:c>
      <x:c r="H22" s="11">
        <x:v>0.42049999999999998</x:v>
      </x:c>
      <x:c r="I22" s="8" t="s">
        <x:v>158</x:v>
      </x:c>
      <x:c r="J22" s="8" t="s">
        <x:v>159</x:v>
      </x:c>
      <x:c r="K22" s="8" t="s">
        <x:v>160</x:v>
      </x:c>
      <x:c r="L22" s="8" t="s">
        <x:v>35</x:v>
      </x:c>
      <x:c r="M22" s="8" t="s">
        <x:v>161</x:v>
      </x:c>
      <x:c r="N22" s="10" t="s">
        <x:v>30</x:v>
      </x:c>
      <x:c r="O22" s="10" t="s">
        <x:v>162</x:v>
      </x:c>
      <x:c r="P22" s="10" t="str">
        <x:v>已确认</x:v>
      </x:c>
      <x:c r="Q22" s="8" t="s">
        <x:v>163</x:v>
      </x:c>
      <x:c r="R22" s="8" t="s">
        <x:v>55</x:v>
      </x:c>
      <x:c r="S22" s="8" t="s">
        <x:v>56</x:v>
      </x:c>
      <x:c r="T22" s="21" t="str">
        <x:v>yes</x:v>
      </x:c>
      <x:c r="U22" s="21" t="str">
        <x:v>yes</x:v>
      </x:c>
      <x:c r="V22" s="21" t="str">
        <x:v>yes</x:v>
      </x:c>
      <x:c r="W22" s="21" t="str">
        <x:v>not_applicable</x:v>
      </x:c>
      <x:c r="X22" s="21" t="str">
        <x:v>uncertain</x:v>
      </x:c>
      <x:c r="Y22" s="21" t="str">
        <x:v>high_risk</x:v>
      </x:c>
      <x:c r="Z22" s="21" t="str">
        <x:v>completed</x:v>
      </x:c>
    </x:row>
    <x:row r="23" ht="78" customHeight="1">
      <x:c r="A23" s="9">
        <x:v>17</x:v>
      </x:c>
      <x:c r="B23" s="9" t="s">
        <x:v>164</x:v>
      </x:c>
      <x:c r="C23" s="8" t="s">
        <x:v>165</x:v>
      </x:c>
      <x:c r="D23" s="9" t="s">
        <x:v>122</x:v>
      </x:c>
      <x:c r="E23" s="9" t="s">
        <x:v>30</x:v>
      </x:c>
      <x:c r="F23" s="9" t="s">
        <x:v>95</x:v>
      </x:c>
      <x:c r="G23" s="9" t="s">
        <x:v>96</x:v>
      </x:c>
      <x:c r="H23" s="11">
        <x:v>0.28810000000000002</x:v>
      </x:c>
      <x:c r="I23" s="8" t="s">
        <x:v>97</x:v>
      </x:c>
      <x:c r="J23" s="8" t="str">
        <x:v>转人工符合当前阈值机制，但规则未优先识别明显风险：普通袜子“百分之百预防”疾病属于强绝对化疾病预防承诺，人工应判高风险。</x:v>
      </x:c>
      <x:c r="K23" s="8" t="s">
        <x:v>166</x:v>
      </x:c>
      <x:c r="L23" s="8" t="s">
        <x:v>35</x:v>
      </x:c>
      <x:c r="M23" s="8" t="s">
        <x:v>167</x:v>
      </x:c>
      <x:c r="N23" s="10" t="s">
        <x:v>30</x:v>
      </x:c>
      <x:c r="O23" s="10" t="str">
        <x:v>转人工符合当前阈值机制，但规则未优先识别疾病预防和绝对保证表达</x:v>
      </x:c>
      <x:c r="P23" s="10" t="str">
        <x:v>已确认</x:v>
      </x:c>
      <x:c r="Q23" s="8" t="str">
        <x:v>输入与判断：转人工符合当前阈值机制，但规则未优先识别明显风险：普通袜子“百分之百预防”疾病属于强绝对化疾病预防承诺，人工应判高风险。；引用：无引用：系统因低于阈值转人工，未生成来源；人工结论来自输入中的疾病预防和绝对保证表达。；建议可执行性：无法核查：test_full.csv未保存next_action字段。；不确定性：清楚说明了转人工原因，但没有指出输入本身已含强疾病预防信号。；人工结论：当前证据更支持high_risk。</x:v>
      </x:c>
      <x:c r="R23" s="8"/>
      <x:c r="S23" s="8"/>
      <x:c r="T23" s="21" t="str">
        <x:v>no</x:v>
      </x:c>
      <x:c r="U23" s="21" t="str">
        <x:v>not_applicable</x:v>
      </x:c>
      <x:c r="V23" s="21" t="str">
        <x:v>no</x:v>
      </x:c>
      <x:c r="W23" s="21" t="str">
        <x:v>not_applicable</x:v>
      </x:c>
      <x:c r="X23" s="21" t="str">
        <x:v>yes</x:v>
      </x:c>
      <x:c r="Y23" s="21" t="str">
        <x:v>high_risk</x:v>
      </x:c>
      <x:c r="Z23" s="21" t="str">
        <x:v>completed</x:v>
      </x:c>
    </x:row>
    <x:row r="24" ht="78" customHeight="1">
      <x:c r="A24" s="9">
        <x:v>18</x:v>
      </x:c>
      <x:c r="B24" s="9" t="s">
        <x:v>168</x:v>
      </x:c>
      <x:c r="C24" s="8" t="s">
        <x:v>169</x:v>
      </x:c>
      <x:c r="D24" s="9" t="s">
        <x:v>122</x:v>
      </x:c>
      <x:c r="E24" s="9" t="s">
        <x:v>29</x:v>
      </x:c>
      <x:c r="F24" s="9" t="s">
        <x:v>95</x:v>
      </x:c>
      <x:c r="G24" s="9" t="s">
        <x:v>96</x:v>
      </x:c>
      <x:c r="H24" s="11">
        <x:v>0.29170000000000001</x:v>
      </x:c>
      <x:c r="I24" s="8" t="s">
        <x:v>97</x:v>
      </x:c>
      <x:c r="J24" s="8" t="s">
        <x:v>170</x:v>
      </x:c>
      <x:c r="K24" s="8" t="s">
        <x:v>171</x:v>
      </x:c>
      <x:c r="L24" s="8" t="s">
        <x:v>35</x:v>
      </x:c>
      <x:c r="M24" s="8" t="s">
        <x:v>172</x:v>
      </x:c>
      <x:c r="N24" s="10" t="s">
        <x:v>29</x:v>
      </x:c>
      <x:c r="O24" s="10" t="s">
        <x:v>101</x:v>
      </x:c>
      <x:c r="P24" s="10" t="str">
        <x:v>已确认</x:v>
      </x:c>
      <x:c r="Q24" s="8" t="s">
        <x:v>173</x:v>
      </x:c>
      <x:c r="R24" s="8"/>
      <x:c r="S24" s="8"/>
      <x:c r="T24" s="21" t="str">
        <x:v>no</x:v>
      </x:c>
      <x:c r="U24" s="21" t="str">
        <x:v>not_applicable</x:v>
      </x:c>
      <x:c r="V24" s="21" t="str">
        <x:v>yes</x:v>
      </x:c>
      <x:c r="W24" s="21" t="str">
        <x:v>not_applicable</x:v>
      </x:c>
      <x:c r="X24" s="21" t="str">
        <x:v>yes</x:v>
      </x:c>
      <x:c r="Y24" s="21" t="str">
        <x:v>evidence_needed</x:v>
      </x:c>
      <x:c r="Z24" s="21" t="str">
        <x:v>completed</x:v>
      </x:c>
    </x:row>
    <x:row r="25" ht="78" customHeight="1">
      <x:c r="A25" s="9">
        <x:v>19</x:v>
      </x:c>
      <x:c r="B25" s="9" t="s">
        <x:v>174</x:v>
      </x:c>
      <x:c r="C25" s="8" t="s">
        <x:v>175</x:v>
      </x:c>
      <x:c r="D25" s="9" t="s">
        <x:v>122</x:v>
      </x:c>
      <x:c r="E25" s="9" t="s">
        <x:v>29</x:v>
      </x:c>
      <x:c r="F25" s="9" t="s">
        <x:v>95</x:v>
      </x:c>
      <x:c r="G25" s="9" t="s">
        <x:v>96</x:v>
      </x:c>
      <x:c r="H25" s="11">
        <x:v>0.28570000000000001</x:v>
      </x:c>
      <x:c r="I25" s="8" t="s">
        <x:v>97</x:v>
      </x:c>
      <x:c r="J25" s="8" t="s">
        <x:v>176</x:v>
      </x:c>
      <x:c r="K25" s="8" t="s">
        <x:v>177</x:v>
      </x:c>
      <x:c r="L25" s="8" t="s">
        <x:v>35</x:v>
      </x:c>
      <x:c r="M25" s="8" t="s">
        <x:v>178</x:v>
      </x:c>
      <x:c r="N25" s="10" t="s">
        <x:v>29</x:v>
      </x:c>
      <x:c r="O25" s="10" t="s">
        <x:v>101</x:v>
      </x:c>
      <x:c r="P25" s="10" t="str">
        <x:v>已确认</x:v>
      </x:c>
      <x:c r="Q25" s="8" t="s">
        <x:v>179</x:v>
      </x:c>
      <x:c r="R25" s="8"/>
      <x:c r="S25" s="8"/>
      <x:c r="T25" s="21" t="str">
        <x:v>no</x:v>
      </x:c>
      <x:c r="U25" s="21" t="str">
        <x:v>not_applicable</x:v>
      </x:c>
      <x:c r="V25" s="21" t="str">
        <x:v>yes</x:v>
      </x:c>
      <x:c r="W25" s="21" t="str">
        <x:v>not_applicable</x:v>
      </x:c>
      <x:c r="X25" s="21" t="str">
        <x:v>yes</x:v>
      </x:c>
      <x:c r="Y25" s="21" t="str">
        <x:v>evidence_needed</x:v>
      </x:c>
      <x:c r="Z25" s="21" t="str">
        <x:v>completed</x:v>
      </x:c>
    </x:row>
    <x:row r="26" ht="78" customHeight="1">
      <x:c r="A26" s="9">
        <x:v>20</x:v>
      </x:c>
      <x:c r="B26" s="9" t="s">
        <x:v>180</x:v>
      </x:c>
      <x:c r="C26" s="8" t="s">
        <x:v>181</x:v>
      </x:c>
      <x:c r="D26" s="9" t="s">
        <x:v>122</x:v>
      </x:c>
      <x:c r="E26" s="9" t="s">
        <x:v>30</x:v>
      </x:c>
      <x:c r="F26" s="9" t="s">
        <x:v>95</x:v>
      </x:c>
      <x:c r="G26" s="9" t="s">
        <x:v>96</x:v>
      </x:c>
      <x:c r="H26" s="11">
        <x:v>0.17299999999999999</x:v>
      </x:c>
      <x:c r="I26" s="8" t="s">
        <x:v>97</x:v>
      </x:c>
      <x:c r="J26" s="8" t="str">
        <x:v>转人工符合当前阈值机制，但规则未优先识别明显风险：家用靠垫“保证治愈”疾病属于强治疗承诺，人工应判高风险。</x:v>
      </x:c>
      <x:c r="K26" s="8" t="s">
        <x:v>182</x:v>
      </x:c>
      <x:c r="L26" s="8" t="s">
        <x:v>35</x:v>
      </x:c>
      <x:c r="M26" s="8" t="s">
        <x:v>183</x:v>
      </x:c>
      <x:c r="N26" s="10" t="s">
        <x:v>30</x:v>
      </x:c>
      <x:c r="O26" s="10" t="str">
        <x:v>转人工符合当前阈值机制，但规则未优先识别明显的治愈保证</x:v>
      </x:c>
      <x:c r="P26" s="10" t="str">
        <x:v>已确认</x:v>
      </x:c>
      <x:c r="Q26" s="8" t="str">
        <x:v>输入与判断：转人工符合当前阈值机制，但规则未优先识别明显风险：家用靠垫“保证治愈”疾病属于强治疗承诺，人工应判高风险。；引用：无引用：系统因低于阈值转人工，未生成来源；人工结论来自输入中的治愈保证。；建议可执行性：无法核查：test_full.csv未保存next_action字段。；不确定性：清楚说明了转人工原因，但没有指出输入本身已含强治愈信号。；人工结论：当前证据更支持high_risk。</x:v>
      </x:c>
      <x:c r="R26" s="8"/>
      <x:c r="S26" s="8"/>
      <x:c r="T26" s="21" t="str">
        <x:v>no</x:v>
      </x:c>
      <x:c r="U26" s="21" t="str">
        <x:v>not_applicable</x:v>
      </x:c>
      <x:c r="V26" s="21" t="str">
        <x:v>no</x:v>
      </x:c>
      <x:c r="W26" s="21" t="str">
        <x:v>not_applicable</x:v>
      </x:c>
      <x:c r="X26" s="21" t="str">
        <x:v>yes</x:v>
      </x:c>
      <x:c r="Y26" s="21" t="str">
        <x:v>high_risk</x:v>
      </x:c>
      <x:c r="Z26" s="21" t="str">
        <x:v>completed</x:v>
      </x:c>
    </x:row>
  </x:sheetData>
  <x:conditionalFormatting sqref="P7:P26">
    <x:cfRule type="containsText" dxfId="2" priority="1" operator="containsText" text="已确认"/>
    <x:cfRule type="containsText" dxfId="1" priority="2" operator="containsText" text="待确认"/>
    <x:cfRule type="containsText" dxfId="0" priority="3" operator="containsText" text="需修改"/>
  </x:conditionalFormatting>
  <x:dataValidations count="7">
    <x:dataValidation type="list" sqref="P7:P26">
      <x:formula1>"待确认,已确认,需修改"</x:formula1>
    </x:dataValidation>
    <x:dataValidation type="list" sqref="T7:T26">
      <x:formula1>"yes,no,uncertain"</x:formula1>
    </x:dataValidation>
    <x:dataValidation type="list" sqref="U7:V26">
      <x:formula1>"yes,no,uncertain,not_applicable"</x:formula1>
    </x:dataValidation>
    <x:dataValidation type="list" sqref="W7:W26">
      <x:formula1>"yes,no,uncertain,not_applicable"</x:formula1>
    </x:dataValidation>
    <x:dataValidation type="list" sqref="X7:X26">
      <x:formula1>"yes,no,uncertain,not_applicable"</x:formula1>
    </x:dataValidation>
    <x:dataValidation type="list" sqref="Y7:Y26">
      <x:formula1>"high_risk,evidence_needed,low_risk"</x:formula1>
    </x:dataValidation>
    <x:dataValidation type="list" sqref="Z7:Z26">
      <x:formula1>"completed,pending,needs_revision"</x:formula1>
    </x:dataValidation>
  </x:dataValidations>
  <x:pageMargins left="0.7" right="0.7" top="0.75" bottom="0.75" header="0.3" footer="0.3"/>
  <x:tableParts count="1">
    <x:tablePart xmlns:r="http://schemas.openxmlformats.org/officeDocument/2006/relationships" r:id="R6e20956d4a224274"/>
  </x:tableParts>
</x:worksheet>
</file>

<file path=xl/worksheets/sheet2.xml><?xml version="1.0" encoding="utf-8"?>
<x:worksheet xmlns:x="http://schemas.openxmlformats.org/spreadsheetml/2006/main">
  <x:sheetPr>
    <x:tabColor rgb="FF7F8C8D"/>
  </x:sheetPr>
  <x:sheetViews>
    <x:sheetView showGridLines="0" workbookViewId="0">
      <x:pane ySplit="2" topLeftCell="A3" activePane="bottomLeft" state="frozen"/>
    </x:sheetView>
  </x:sheetViews>
  <x:sheetFormatPr defaultRowHeight="13.5"/>
  <x:cols>
    <x:col min="1" max="1" width="18" customWidth="1"/>
    <x:col min="2" max="2" width="95" customWidth="1"/>
  </x:cols>
  <x:sheetData>
    <x:row r="1" ht="18.75">
      <x:c r="A1" s="1" t="s">
        <x:v>184</x:v>
      </x:c>
      <x:c r="B1" s="2"/>
    </x:row>
    <x:row r="2">
      <x:c r="A2" s="2"/>
      <x:c r="B2" s="2"/>
    </x:row>
    <x:row r="3" ht="42" customHeight="1">
      <x:c r="A3" s="15" t="s">
        <x:v>185</x:v>
      </x:c>
      <x:c r="B3" s="12" t="s">
        <x:v>186</x:v>
      </x:c>
    </x:row>
    <x:row r="4" ht="42" customHeight="1">
      <x:c r="A4" s="16" t="s">
        <x:v>187</x:v>
      </x:c>
      <x:c r="B4" s="13" t="s">
        <x:v>188</x:v>
      </x:c>
    </x:row>
    <x:row r="5" ht="42" customHeight="1">
      <x:c r="A5" s="16" t="s">
        <x:v>189</x:v>
      </x:c>
      <x:c r="B5" s="13" t="s">
        <x:v>190</x:v>
      </x:c>
    </x:row>
    <x:row r="6" ht="42" customHeight="1">
      <x:c r="A6" s="16" t="s">
        <x:v>191</x:v>
      </x:c>
      <x:c r="B6" s="13" t="s">
        <x:v>192</x:v>
      </x:c>
    </x:row>
    <x:row r="7" ht="42" customHeight="1">
      <x:c r="A7" s="16" t="s">
        <x:v>193</x:v>
      </x:c>
      <x:c r="B7" s="13" t="s">
        <x:v>194</x:v>
      </x:c>
    </x:row>
    <x:row r="8" ht="42" customHeight="1">
      <x:c r="A8" s="16" t="str">
        <x:v>结构化字段</x:v>
      </x:c>
      <x:c r="B8" s="13" t="str">
        <x:v>复核记录T至Z列保存结构化结果。citation_supported、reason_supported和uncertainty_clear基于已确认的人工复核结论；无引用记录的citation_supported记为not_applicable。</x:v>
      </x:c>
    </x:row>
    <x:row r="9" ht="42" customHeight="1">
      <x:c r="A9" s="16" t="s">
        <x:v>195</x:v>
      </x:c>
      <x:c r="B9" s="13" t="str">
        <x:v>20条记录均已完成人工复核和结构化编码，review_status均为completed。</x:v>
      </x:c>
    </x:row>
    <x:row r="10" ht="42" customHeight="1">
      <x:c r="A10" s="16" t="s">
        <x:v>196</x:v>
      </x:c>
      <x:c r="B10" s="13" t="s">
        <x:v>197</x:v>
      </x:c>
    </x:row>
    <x:row r="11" ht="42" customHeight="1">
      <x:c r="A11" s="17" t="s">
        <x:v>198</x:v>
      </x:c>
      <x:c r="B11" s="14" t="s">
        <x:v>199</x:v>
      </x:c>
    </x:row>
  </x:sheetData>
  <x:pageMargins left="0.7" right="0.7" top="0.75" bottom="0.75" header="0.3" footer="0.3"/>
</x:worksheet>
</file>